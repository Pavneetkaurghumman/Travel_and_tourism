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https://d.docs.live.net/c920b1b2aba93648/Documents/New Folder/Desktop/"/>
    </mc:Choice>
  </mc:AlternateContent>
  <xr:revisionPtr revIDLastSave="0" documentId="8_{1A6F0E56-1724-41A0-B8DD-0AD7516085D4}" xr6:coauthVersionLast="47" xr6:coauthVersionMax="47" xr10:uidLastSave="{00000000-0000-0000-0000-000000000000}"/>
  <bookViews>
    <workbookView xWindow="-108" yWindow="-108" windowWidth="23256" windowHeight="12456" activeTab="2" xr2:uid="{727A0D07-1FB8-4FAF-98C4-91A738F735B9}"/>
  </bookViews>
  <sheets>
    <sheet name="Sheet1" sheetId="2" r:id="rId1"/>
    <sheet name="New Dashboard" sheetId="5" r:id="rId2"/>
    <sheet name="TravelTourism Data Analysis" sheetId="1" r:id="rId3"/>
  </sheets>
  <definedNames>
    <definedName name="_xlcn.WorksheetConnection_TravelTourismDataAnalysis.xlsxTable11" hidden="1">Table1[]</definedName>
    <definedName name="Slicer_Country">#N/A</definedName>
    <definedName name="Slicer_Purpose_of_Visit">#N/A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ravelTourism Data Analysi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2" l="1"/>
  <c r="C5" i="2"/>
  <c r="B5" i="2"/>
  <c r="E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8486D7-EF8F-45F4-9950-ED01FB3C98E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9D92F3F-C3A8-4906-B44C-8E4EF512F5B3}" name="WorksheetConnection_TravelTourism Data Analysis.xlsx!Table1" type="102" refreshedVersion="8" minRefreshableVersion="5">
    <extLst>
      <ext xmlns:x15="http://schemas.microsoft.com/office/spreadsheetml/2010/11/main" uri="{DE250136-89BD-433C-8126-D09CA5730AF9}">
        <x15:connection id="Table1">
          <x15:rangePr sourceName="_xlcn.WorksheetConnection_TravelTourismDataAnalysis.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<sst xmlns="http://schemas.openxmlformats.org/spreadsheetml/2006/main" count="1560" uniqueCount="107">
  <si>
    <t>Country</t>
  </si>
  <si>
    <t>City</t>
  </si>
  <si>
    <t>Year</t>
  </si>
  <si>
    <t>Number_of_Tourists</t>
  </si>
  <si>
    <t>Purpose_of_Visit</t>
  </si>
  <si>
    <t>Tourist_Spending_USD</t>
  </si>
  <si>
    <t>Number_of_Hotels</t>
  </si>
  <si>
    <t>Average_Room_Price_USD</t>
  </si>
  <si>
    <t>Tourism_Revenue_USD</t>
  </si>
  <si>
    <t>Employment_in_Tourism</t>
  </si>
  <si>
    <t>Number_of_Flights</t>
  </si>
  <si>
    <t>Airport_Passenger_Traffic</t>
  </si>
  <si>
    <t>Eco_Tourism_Revenue_USD</t>
  </si>
  <si>
    <t>Number_of_Online_Reviews</t>
  </si>
  <si>
    <t>Italy</t>
  </si>
  <si>
    <t>Venice</t>
  </si>
  <si>
    <t>Cultural</t>
  </si>
  <si>
    <t>India</t>
  </si>
  <si>
    <t>Mumbai</t>
  </si>
  <si>
    <t>Religious</t>
  </si>
  <si>
    <t>Japan</t>
  </si>
  <si>
    <t>Tokyo</t>
  </si>
  <si>
    <t>Leisure</t>
  </si>
  <si>
    <t>United Kingdom</t>
  </si>
  <si>
    <t>Manchester</t>
  </si>
  <si>
    <t>Educational</t>
  </si>
  <si>
    <t>Egypt</t>
  </si>
  <si>
    <t>Luxor</t>
  </si>
  <si>
    <t>Rome</t>
  </si>
  <si>
    <t>Osaka</t>
  </si>
  <si>
    <t>Brazil</t>
  </si>
  <si>
    <t>Sao Paulo</t>
  </si>
  <si>
    <t>United Arab Emirates</t>
  </si>
  <si>
    <t>Dubai</t>
  </si>
  <si>
    <t>France</t>
  </si>
  <si>
    <t>Paris</t>
  </si>
  <si>
    <t>Delhi</t>
  </si>
  <si>
    <t>Family Visit</t>
  </si>
  <si>
    <t>Turkey</t>
  </si>
  <si>
    <t>Istanbul</t>
  </si>
  <si>
    <t>Greece</t>
  </si>
  <si>
    <t>Athens</t>
  </si>
  <si>
    <t>Antalya</t>
  </si>
  <si>
    <t>Germany</t>
  </si>
  <si>
    <t>Frankfurt</t>
  </si>
  <si>
    <t>United States</t>
  </si>
  <si>
    <t>San Francisco</t>
  </si>
  <si>
    <t>Medical</t>
  </si>
  <si>
    <t>Berlin</t>
  </si>
  <si>
    <t>Business</t>
  </si>
  <si>
    <t>Spain</t>
  </si>
  <si>
    <t>Seville</t>
  </si>
  <si>
    <t>Miami</t>
  </si>
  <si>
    <t>China</t>
  </si>
  <si>
    <t>Guangzhou</t>
  </si>
  <si>
    <t>Kyoto</t>
  </si>
  <si>
    <t>Thailand</t>
  </si>
  <si>
    <t>Bangkok</t>
  </si>
  <si>
    <t>Munich</t>
  </si>
  <si>
    <t>Mexico</t>
  </si>
  <si>
    <t>Cancun</t>
  </si>
  <si>
    <t>Canada</t>
  </si>
  <si>
    <t>Toronto</t>
  </si>
  <si>
    <t>Australia</t>
  </si>
  <si>
    <t>Melbourne</t>
  </si>
  <si>
    <t>Marseille</t>
  </si>
  <si>
    <t>Los Angeles</t>
  </si>
  <si>
    <t>Nice</t>
  </si>
  <si>
    <t>Montreal</t>
  </si>
  <si>
    <t>South Africa</t>
  </si>
  <si>
    <t>Johannesburg</t>
  </si>
  <si>
    <t>Chiang Mai</t>
  </si>
  <si>
    <t>Santorini</t>
  </si>
  <si>
    <t>Singapore</t>
  </si>
  <si>
    <t>Singapore City</t>
  </si>
  <si>
    <t>Sentosa Island</t>
  </si>
  <si>
    <t>Phuket</t>
  </si>
  <si>
    <t>Madrid</t>
  </si>
  <si>
    <t>Cairo</t>
  </si>
  <si>
    <t>New York</t>
  </si>
  <si>
    <t>Las Vegas</t>
  </si>
  <si>
    <t>Shanghai</t>
  </si>
  <si>
    <t>Jaipur</t>
  </si>
  <si>
    <t>Puerto Vallarta</t>
  </si>
  <si>
    <t>Edinburgh</t>
  </si>
  <si>
    <t>Beijing</t>
  </si>
  <si>
    <t>Barcelona</t>
  </si>
  <si>
    <t>Brisbane</t>
  </si>
  <si>
    <t>London</t>
  </si>
  <si>
    <t>Mexico City</t>
  </si>
  <si>
    <t>Florence</t>
  </si>
  <si>
    <t>Cape Town</t>
  </si>
  <si>
    <t>Rio de Janeiro</t>
  </si>
  <si>
    <t>Vancouver</t>
  </si>
  <si>
    <t>Lyon</t>
  </si>
  <si>
    <t>Sydney</t>
  </si>
  <si>
    <t>Abu Dhabi</t>
  </si>
  <si>
    <t>Sum of Number_of_Tourists</t>
  </si>
  <si>
    <t>Sum of Tourist_Spending_USD</t>
  </si>
  <si>
    <t>Sum of Tourism_Revenue_USD</t>
  </si>
  <si>
    <t>Sum of Number_of_Hotels</t>
  </si>
  <si>
    <t>KPI</t>
  </si>
  <si>
    <t>SLICER</t>
  </si>
  <si>
    <t>Row Labels</t>
  </si>
  <si>
    <t>Grand Total</t>
  </si>
  <si>
    <t>Sum of Number_of_Online_Reviews</t>
  </si>
  <si>
    <t>Sum of Employment_in_Tourism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</si>
</sst>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rgb="FFABABAB"/>
      </bottom>
      <diagonal/>
    </border>
    <border>
      <left style="thin">
        <color rgb="FFABABAB"/>
      </left>
      <right style="thin">
        <color rgb="FFABABAB"/>
      </right>
      <top style="thin">
        <color rgb="FFABABAB"/>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20" xfId="0" applyBorder="1"/>
    <xf numFmtId="0" fontId="18" fillId="0" borderId="0" xfId="0" applyFont="1" applyAlignment="1">
      <alignment horizontal="center"/>
    </xf>
    <xf numFmtId="0" fontId="0" fillId="0" borderId="0" xfId="0" applyAlignment="1">
      <alignment horizontal="center"/>
    </xf>
    <xf numFmtId="0" fontId="19" fillId="0" borderId="0" xfId="0" applyFont="1" applyAlignment="1">
      <alignment horizontal="center"/>
    </xf>
    <xf numFmtId="0" fontId="0" fillId="0" borderId="19"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heetMetadata" Target="metadata.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Types" Target="richData/rdRichValueTyp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microsoft.com/office/2017/06/relationships/rdRichValueStructure" Target="richData/rdrichvaluestructure.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Tourist Spending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Sheet1!$C$15</c:f>
              <c:strCache>
                <c:ptCount val="1"/>
                <c:pt idx="0">
                  <c:v>Total</c:v>
                </c:pt>
              </c:strCache>
            </c:strRef>
          </c:tx>
          <c:spPr>
            <a:solidFill>
              <a:schemeClr val="accent1"/>
            </a:solidFill>
            <a:ln>
              <a:noFill/>
            </a:ln>
            <a:effectLst/>
          </c:spPr>
          <c:invertIfNegative val="0"/>
          <c:cat>
            <c:strRef>
              <c:f>Sheet1!$B$16:$B$17</c:f>
              <c:strCache>
                <c:ptCount val="1"/>
                <c:pt idx="0">
                  <c:v>United Arab Emirates</c:v>
                </c:pt>
              </c:strCache>
            </c:strRef>
          </c:cat>
          <c:val>
            <c:numRef>
              <c:f>Sheet1!$C$16:$C$17</c:f>
              <c:numCache>
                <c:formatCode>General</c:formatCode>
                <c:ptCount val="1"/>
                <c:pt idx="0">
                  <c:v>9035.1</c:v>
                </c:pt>
              </c:numCache>
            </c:numRef>
          </c:val>
          <c:extLst>
            <c:ext xmlns:c16="http://schemas.microsoft.com/office/drawing/2014/chart" uri="{C3380CC4-5D6E-409C-BE32-E72D297353CC}">
              <c16:uniqueId val="{00000000-F0C3-4BD4-8C2B-48F221BF88E3}"/>
            </c:ext>
          </c:extLst>
        </c:ser>
        <c:dLbls>
          <c:showLegendKey val="0"/>
          <c:showVal val="0"/>
          <c:showCatName val="0"/>
          <c:showSerName val="0"/>
          <c:showPercent val="0"/>
          <c:showBubbleSize val="0"/>
        </c:dLbls>
        <c:gapWidth val="219"/>
        <c:overlap val="-27"/>
        <c:axId val="2078417407"/>
        <c:axId val="2078437567"/>
      </c:barChart>
      <c:catAx>
        <c:axId val="207841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37567"/>
        <c:crosses val="autoZero"/>
        <c:auto val="1"/>
        <c:lblAlgn val="ctr"/>
        <c:lblOffset val="100"/>
        <c:noMultiLvlLbl val="0"/>
      </c:catAx>
      <c:valAx>
        <c:axId val="207843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1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Sheet1!$C$43</c:f>
              <c:strCache>
                <c:ptCount val="1"/>
                <c:pt idx="0">
                  <c:v>Total</c:v>
                </c:pt>
              </c:strCache>
            </c:strRef>
          </c:tx>
          <c:spPr>
            <a:solidFill>
              <a:schemeClr val="accent1"/>
            </a:solidFill>
            <a:ln>
              <a:noFill/>
            </a:ln>
            <a:effectLst/>
          </c:spPr>
          <c:invertIfNegative val="0"/>
          <c:cat>
            <c:strRef>
              <c:f>Sheet1!$B$44:$B$45</c:f>
              <c:strCache>
                <c:ptCount val="1"/>
                <c:pt idx="0">
                  <c:v>Educational</c:v>
                </c:pt>
              </c:strCache>
            </c:strRef>
          </c:cat>
          <c:val>
            <c:numRef>
              <c:f>Sheet1!$C$44:$C$45</c:f>
              <c:numCache>
                <c:formatCode>General</c:formatCode>
                <c:ptCount val="1"/>
                <c:pt idx="0">
                  <c:v>336982</c:v>
                </c:pt>
              </c:numCache>
            </c:numRef>
          </c:val>
          <c:extLst>
            <c:ext xmlns:c16="http://schemas.microsoft.com/office/drawing/2014/chart" uri="{C3380CC4-5D6E-409C-BE32-E72D297353CC}">
              <c16:uniqueId val="{00000000-9FBE-4627-8A9B-3AF758C5673B}"/>
            </c:ext>
          </c:extLst>
        </c:ser>
        <c:dLbls>
          <c:showLegendKey val="0"/>
          <c:showVal val="0"/>
          <c:showCatName val="0"/>
          <c:showSerName val="0"/>
          <c:showPercent val="0"/>
          <c:showBubbleSize val="0"/>
        </c:dLbls>
        <c:gapWidth val="150"/>
        <c:axId val="2078446687"/>
        <c:axId val="2078448127"/>
      </c:barChart>
      <c:catAx>
        <c:axId val="207844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48127"/>
        <c:crosses val="autoZero"/>
        <c:auto val="1"/>
        <c:lblAlgn val="ctr"/>
        <c:lblOffset val="100"/>
        <c:noMultiLvlLbl val="0"/>
      </c:catAx>
      <c:valAx>
        <c:axId val="207844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4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analysis.xlsx]Sheet1!PivotTable5</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Sheet1!$C$136</c:f>
              <c:strCache>
                <c:ptCount val="1"/>
                <c:pt idx="0">
                  <c:v>Total</c:v>
                </c:pt>
              </c:strCache>
            </c:strRef>
          </c:tx>
          <c:spPr>
            <a:ln w="28575" cap="rnd">
              <a:solidFill>
                <a:schemeClr val="accent1"/>
              </a:solidFill>
              <a:round/>
            </a:ln>
            <a:effectLst/>
          </c:spPr>
          <c:marker>
            <c:symbol val="none"/>
          </c:marker>
          <c:cat>
            <c:strRef>
              <c:f>Sheet1!$B$137:$B$138</c:f>
              <c:strCache>
                <c:ptCount val="1"/>
                <c:pt idx="0">
                  <c:v>United Arab Emirates</c:v>
                </c:pt>
              </c:strCache>
            </c:strRef>
          </c:cat>
          <c:val>
            <c:numRef>
              <c:f>Sheet1!$C$137:$C$138</c:f>
              <c:numCache>
                <c:formatCode>General</c:formatCode>
                <c:ptCount val="1"/>
                <c:pt idx="0">
                  <c:v>13987</c:v>
                </c:pt>
              </c:numCache>
            </c:numRef>
          </c:val>
          <c:smooth val="0"/>
          <c:extLst>
            <c:ext xmlns:c16="http://schemas.microsoft.com/office/drawing/2014/chart" uri="{C3380CC4-5D6E-409C-BE32-E72D297353CC}">
              <c16:uniqueId val="{00000000-419A-432D-B9AA-90BADCC63E5B}"/>
            </c:ext>
          </c:extLst>
        </c:ser>
        <c:dLbls>
          <c:showLegendKey val="0"/>
          <c:showVal val="0"/>
          <c:showCatName val="0"/>
          <c:showSerName val="0"/>
          <c:showPercent val="0"/>
          <c:showBubbleSize val="0"/>
        </c:dLbls>
        <c:smooth val="0"/>
        <c:axId val="776394911"/>
        <c:axId val="776373311"/>
      </c:lineChart>
      <c:catAx>
        <c:axId val="77639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73311"/>
        <c:crosses val="autoZero"/>
        <c:auto val="1"/>
        <c:lblAlgn val="ctr"/>
        <c:lblOffset val="100"/>
        <c:noMultiLvlLbl val="0"/>
      </c:catAx>
      <c:valAx>
        <c:axId val="77637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9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Sheet1!$C$72</c:f>
              <c:strCache>
                <c:ptCount val="1"/>
                <c:pt idx="0">
                  <c:v>Total</c:v>
                </c:pt>
              </c:strCache>
            </c:strRef>
          </c:tx>
          <c:spPr>
            <a:solidFill>
              <a:schemeClr val="accent1"/>
            </a:solidFill>
            <a:ln>
              <a:noFill/>
            </a:ln>
            <a:effectLst/>
          </c:spPr>
          <c:cat>
            <c:strRef>
              <c:f>Sheet1!$B$73:$B$74</c:f>
              <c:strCache>
                <c:ptCount val="1"/>
                <c:pt idx="0">
                  <c:v>2020</c:v>
                </c:pt>
              </c:strCache>
            </c:strRef>
          </c:cat>
          <c:val>
            <c:numRef>
              <c:f>Sheet1!$C$73:$C$74</c:f>
              <c:numCache>
                <c:formatCode>General</c:formatCode>
                <c:ptCount val="1"/>
                <c:pt idx="0">
                  <c:v>9035.1</c:v>
                </c:pt>
              </c:numCache>
            </c:numRef>
          </c:val>
          <c:extLst>
            <c:ext xmlns:c16="http://schemas.microsoft.com/office/drawing/2014/chart" uri="{C3380CC4-5D6E-409C-BE32-E72D297353CC}">
              <c16:uniqueId val="{00000000-51A3-4C34-9111-D48864130561}"/>
            </c:ext>
          </c:extLst>
        </c:ser>
        <c:dLbls>
          <c:showLegendKey val="0"/>
          <c:showVal val="0"/>
          <c:showCatName val="0"/>
          <c:showSerName val="0"/>
          <c:showPercent val="0"/>
          <c:showBubbleSize val="0"/>
        </c:dLbls>
        <c:axId val="776412191"/>
        <c:axId val="776427551"/>
      </c:areaChart>
      <c:catAx>
        <c:axId val="776412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27551"/>
        <c:crosses val="autoZero"/>
        <c:auto val="1"/>
        <c:lblAlgn val="ctr"/>
        <c:lblOffset val="100"/>
        <c:noMultiLvlLbl val="0"/>
      </c:catAx>
      <c:valAx>
        <c:axId val="77642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12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Sheet1!$D$92</c:f>
              <c:strCache>
                <c:ptCount val="1"/>
                <c:pt idx="0">
                  <c:v>Total</c:v>
                </c:pt>
              </c:strCache>
            </c:strRef>
          </c:tx>
          <c:spPr>
            <a:solidFill>
              <a:schemeClr val="accent1"/>
            </a:solidFill>
            <a:ln>
              <a:noFill/>
            </a:ln>
            <a:effectLst/>
          </c:spPr>
          <c:invertIfNegative val="0"/>
          <c:cat>
            <c:strRef>
              <c:f>Sheet1!$C$93:$C$100</c:f>
              <c:strCache>
                <c:ptCount val="7"/>
                <c:pt idx="0">
                  <c:v>Business</c:v>
                </c:pt>
                <c:pt idx="1">
                  <c:v>Cultural</c:v>
                </c:pt>
                <c:pt idx="2">
                  <c:v>Educational</c:v>
                </c:pt>
                <c:pt idx="3">
                  <c:v>Family Visit</c:v>
                </c:pt>
                <c:pt idx="4">
                  <c:v>Leisure</c:v>
                </c:pt>
                <c:pt idx="5">
                  <c:v>Medical</c:v>
                </c:pt>
                <c:pt idx="6">
                  <c:v>Religious</c:v>
                </c:pt>
              </c:strCache>
            </c:strRef>
          </c:cat>
          <c:val>
            <c:numRef>
              <c:f>Sheet1!$D$93:$D$100</c:f>
              <c:numCache>
                <c:formatCode>General</c:formatCode>
                <c:ptCount val="7"/>
                <c:pt idx="0">
                  <c:v>18011</c:v>
                </c:pt>
                <c:pt idx="1">
                  <c:v>17128</c:v>
                </c:pt>
                <c:pt idx="2">
                  <c:v>23722</c:v>
                </c:pt>
                <c:pt idx="3">
                  <c:v>20730</c:v>
                </c:pt>
                <c:pt idx="4">
                  <c:v>18545</c:v>
                </c:pt>
                <c:pt idx="5">
                  <c:v>19785</c:v>
                </c:pt>
                <c:pt idx="6">
                  <c:v>18891</c:v>
                </c:pt>
              </c:numCache>
            </c:numRef>
          </c:val>
          <c:extLst>
            <c:ext xmlns:c16="http://schemas.microsoft.com/office/drawing/2014/chart" uri="{C3380CC4-5D6E-409C-BE32-E72D297353CC}">
              <c16:uniqueId val="{00000000-E348-4469-B6CE-39FD7A4BA2CF}"/>
            </c:ext>
          </c:extLst>
        </c:ser>
        <c:dLbls>
          <c:showLegendKey val="0"/>
          <c:showVal val="0"/>
          <c:showCatName val="0"/>
          <c:showSerName val="0"/>
          <c:showPercent val="0"/>
          <c:showBubbleSize val="0"/>
        </c:dLbls>
        <c:gapWidth val="219"/>
        <c:overlap val="-27"/>
        <c:axId val="2078416447"/>
        <c:axId val="2078419327"/>
      </c:barChart>
      <c:catAx>
        <c:axId val="207841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19327"/>
        <c:crosses val="autoZero"/>
        <c:auto val="1"/>
        <c:lblAlgn val="ctr"/>
        <c:lblOffset val="100"/>
        <c:noMultiLvlLbl val="0"/>
      </c:catAx>
      <c:valAx>
        <c:axId val="207841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1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 </a:t>
            </a:r>
            <a:r>
              <a:rPr lang="en-IN" baseline="0"/>
              <a:t> wise  tourism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Sheet1!$C$109</c:f>
              <c:strCache>
                <c:ptCount val="1"/>
                <c:pt idx="0">
                  <c:v>Total</c:v>
                </c:pt>
              </c:strCache>
            </c:strRef>
          </c:tx>
          <c:spPr>
            <a:solidFill>
              <a:schemeClr val="accent1"/>
            </a:solidFill>
            <a:ln>
              <a:noFill/>
            </a:ln>
            <a:effectLst/>
          </c:spPr>
          <c:invertIfNegative val="0"/>
          <c:cat>
            <c:strRef>
              <c:f>Sheet1!$B$110:$B$120</c:f>
              <c:strCache>
                <c:ptCount val="10"/>
                <c:pt idx="0">
                  <c:v>Australia</c:v>
                </c:pt>
                <c:pt idx="1">
                  <c:v>Canada</c:v>
                </c:pt>
                <c:pt idx="2">
                  <c:v>China</c:v>
                </c:pt>
                <c:pt idx="3">
                  <c:v>Egypt</c:v>
                </c:pt>
                <c:pt idx="4">
                  <c:v>Germany</c:v>
                </c:pt>
                <c:pt idx="5">
                  <c:v>India</c:v>
                </c:pt>
                <c:pt idx="6">
                  <c:v>Italy</c:v>
                </c:pt>
                <c:pt idx="7">
                  <c:v>South Africa</c:v>
                </c:pt>
                <c:pt idx="8">
                  <c:v>Spain</c:v>
                </c:pt>
                <c:pt idx="9">
                  <c:v>United States</c:v>
                </c:pt>
              </c:strCache>
            </c:strRef>
          </c:cat>
          <c:val>
            <c:numRef>
              <c:f>Sheet1!$C$110:$C$120</c:f>
              <c:numCache>
                <c:formatCode>General</c:formatCode>
                <c:ptCount val="10"/>
                <c:pt idx="0">
                  <c:v>867795</c:v>
                </c:pt>
                <c:pt idx="1">
                  <c:v>858502</c:v>
                </c:pt>
                <c:pt idx="2">
                  <c:v>919085</c:v>
                </c:pt>
                <c:pt idx="3">
                  <c:v>844656</c:v>
                </c:pt>
                <c:pt idx="4">
                  <c:v>812507</c:v>
                </c:pt>
                <c:pt idx="5">
                  <c:v>817184</c:v>
                </c:pt>
                <c:pt idx="6">
                  <c:v>899872</c:v>
                </c:pt>
                <c:pt idx="7">
                  <c:v>903491</c:v>
                </c:pt>
                <c:pt idx="8">
                  <c:v>768082</c:v>
                </c:pt>
                <c:pt idx="9">
                  <c:v>687788</c:v>
                </c:pt>
              </c:numCache>
            </c:numRef>
          </c:val>
          <c:extLst>
            <c:ext xmlns:c16="http://schemas.microsoft.com/office/drawing/2014/chart" uri="{C3380CC4-5D6E-409C-BE32-E72D297353CC}">
              <c16:uniqueId val="{00000000-A385-475F-8EDB-A80F79553564}"/>
            </c:ext>
          </c:extLst>
        </c:ser>
        <c:dLbls>
          <c:showLegendKey val="0"/>
          <c:showVal val="0"/>
          <c:showCatName val="0"/>
          <c:showSerName val="0"/>
          <c:showPercent val="0"/>
          <c:showBubbleSize val="0"/>
        </c:dLbls>
        <c:gapWidth val="219"/>
        <c:overlap val="-27"/>
        <c:axId val="776379551"/>
        <c:axId val="776382911"/>
      </c:barChart>
      <c:catAx>
        <c:axId val="7763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82911"/>
        <c:crosses val="autoZero"/>
        <c:auto val="1"/>
        <c:lblAlgn val="ctr"/>
        <c:lblOffset val="100"/>
        <c:noMultiLvlLbl val="0"/>
      </c:catAx>
      <c:valAx>
        <c:axId val="77638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7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Tourist Spending USD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Sheet1!$B$16:$B$17</c:f>
              <c:strCache>
                <c:ptCount val="1"/>
                <c:pt idx="0">
                  <c:v>United Arab Emirates</c:v>
                </c:pt>
              </c:strCache>
            </c:strRef>
          </c:cat>
          <c:val>
            <c:numRef>
              <c:f>Sheet1!$C$16:$C$17</c:f>
              <c:numCache>
                <c:formatCode>General</c:formatCode>
                <c:ptCount val="1"/>
                <c:pt idx="0">
                  <c:v>9035.1</c:v>
                </c:pt>
              </c:numCache>
            </c:numRef>
          </c:val>
          <c:extLst>
            <c:ext xmlns:c16="http://schemas.microsoft.com/office/drawing/2014/chart" uri="{C3380CC4-5D6E-409C-BE32-E72D297353CC}">
              <c16:uniqueId val="{00000000-3ECF-4C97-80CE-82B0C06A1239}"/>
            </c:ext>
          </c:extLst>
        </c:ser>
        <c:dLbls>
          <c:showLegendKey val="0"/>
          <c:showVal val="0"/>
          <c:showCatName val="0"/>
          <c:showSerName val="0"/>
          <c:showPercent val="0"/>
          <c:showBubbleSize val="0"/>
        </c:dLbls>
        <c:gapWidth val="65"/>
        <c:axId val="2078417407"/>
        <c:axId val="2078437567"/>
      </c:barChart>
      <c:catAx>
        <c:axId val="20784174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8437567"/>
        <c:crosses val="autoZero"/>
        <c:auto val="1"/>
        <c:lblAlgn val="ctr"/>
        <c:lblOffset val="100"/>
        <c:noMultiLvlLbl val="0"/>
      </c:catAx>
      <c:valAx>
        <c:axId val="20784375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84174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tourists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Sheet1!$B$44:$B$45</c:f>
              <c:strCache>
                <c:ptCount val="1"/>
                <c:pt idx="0">
                  <c:v>Educational</c:v>
                </c:pt>
              </c:strCache>
            </c:strRef>
          </c:cat>
          <c:val>
            <c:numRef>
              <c:f>Sheet1!$C$44:$C$45</c:f>
              <c:numCache>
                <c:formatCode>General</c:formatCode>
                <c:ptCount val="1"/>
                <c:pt idx="0">
                  <c:v>336982</c:v>
                </c:pt>
              </c:numCache>
            </c:numRef>
          </c:val>
          <c:extLst>
            <c:ext xmlns:c16="http://schemas.microsoft.com/office/drawing/2014/chart" uri="{C3380CC4-5D6E-409C-BE32-E72D297353CC}">
              <c16:uniqueId val="{00000000-26C0-4D6E-8C5B-A4215893D46D}"/>
            </c:ext>
          </c:extLst>
        </c:ser>
        <c:dLbls>
          <c:showLegendKey val="0"/>
          <c:showVal val="0"/>
          <c:showCatName val="0"/>
          <c:showSerName val="0"/>
          <c:showPercent val="0"/>
          <c:showBubbleSize val="0"/>
        </c:dLbls>
        <c:gapWidth val="65"/>
        <c:axId val="2078446687"/>
        <c:axId val="2078448127"/>
      </c:barChart>
      <c:catAx>
        <c:axId val="2078446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8448127"/>
        <c:crosses val="autoZero"/>
        <c:auto val="1"/>
        <c:lblAlgn val="ctr"/>
        <c:lblOffset val="100"/>
        <c:noMultiLvlLbl val="0"/>
      </c:catAx>
      <c:valAx>
        <c:axId val="2078448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84466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oftEdge rad="114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Hotels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6"/>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7"/>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8"/>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9"/>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10"/>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
        <c:idx val="11"/>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Sheet1!$D$92</c:f>
              <c:strCache>
                <c:ptCount val="1"/>
                <c:pt idx="0">
                  <c:v>Total</c:v>
                </c:pt>
              </c:strCache>
            </c:strRef>
          </c:tx>
          <c:dPt>
            <c:idx val="0"/>
            <c:bubble3D val="0"/>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1-CFDD-4A88-BF96-D7CDD7E00E82}"/>
              </c:ext>
            </c:extLst>
          </c:dPt>
          <c:dPt>
            <c:idx val="1"/>
            <c:bubble3D val="0"/>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3-CFDD-4A88-BF96-D7CDD7E00E82}"/>
              </c:ext>
            </c:extLst>
          </c:dPt>
          <c:dPt>
            <c:idx val="2"/>
            <c:bubble3D val="0"/>
            <c:spPr>
              <a:solidFill>
                <a:schemeClr val="accent3">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5-CFDD-4A88-BF96-D7CDD7E00E82}"/>
              </c:ext>
            </c:extLst>
          </c:dPt>
          <c:dPt>
            <c:idx val="3"/>
            <c:bubble3D val="0"/>
            <c:spPr>
              <a:solidFill>
                <a:schemeClr val="accent4">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7-CFDD-4A88-BF96-D7CDD7E00E82}"/>
              </c:ext>
            </c:extLst>
          </c:dPt>
          <c:dPt>
            <c:idx val="4"/>
            <c:bubble3D val="0"/>
            <c:spPr>
              <a:solidFill>
                <a:schemeClr val="accent5">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9-CFDD-4A88-BF96-D7CDD7E00E82}"/>
              </c:ext>
            </c:extLst>
          </c:dPt>
          <c:dPt>
            <c:idx val="5"/>
            <c:bubble3D val="0"/>
            <c:spPr>
              <a:solidFill>
                <a:schemeClr val="accent6">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B-CFDD-4A88-BF96-D7CDD7E00E82}"/>
              </c:ext>
            </c:extLst>
          </c:dPt>
          <c:dPt>
            <c:idx val="6"/>
            <c:bubble3D val="0"/>
            <c:spPr>
              <a:solidFill>
                <a:schemeClr val="accent1">
                  <a:lumMod val="60000"/>
                  <a:alpha val="85000"/>
                </a:schemeClr>
              </a:solidFill>
              <a:ln w="9525" cap="flat" cmpd="sng" algn="ctr">
                <a:solidFill>
                  <a:schemeClr val="lt1">
                    <a:alpha val="50000"/>
                  </a:schemeClr>
                </a:solidFill>
                <a:round/>
              </a:ln>
              <a:effectLst/>
              <a:sp3d contourW="9525">
                <a:contourClr>
                  <a:schemeClr val="lt1">
                    <a:alpha val="50000"/>
                  </a:schemeClr>
                </a:contourClr>
              </a:sp3d>
            </c:spPr>
            <c:extLst>
              <c:ext xmlns:c16="http://schemas.microsoft.com/office/drawing/2014/chart" uri="{C3380CC4-5D6E-409C-BE32-E72D297353CC}">
                <c16:uniqueId val="{0000000D-CFDD-4A88-BF96-D7CDD7E00E82}"/>
              </c:ext>
            </c:extLst>
          </c:dPt>
          <c:cat>
            <c:strRef>
              <c:f>Sheet1!$C$93:$C$100</c:f>
              <c:strCache>
                <c:ptCount val="7"/>
                <c:pt idx="0">
                  <c:v>Business</c:v>
                </c:pt>
                <c:pt idx="1">
                  <c:v>Cultural</c:v>
                </c:pt>
                <c:pt idx="2">
                  <c:v>Educational</c:v>
                </c:pt>
                <c:pt idx="3">
                  <c:v>Family Visit</c:v>
                </c:pt>
                <c:pt idx="4">
                  <c:v>Leisure</c:v>
                </c:pt>
                <c:pt idx="5">
                  <c:v>Medical</c:v>
                </c:pt>
                <c:pt idx="6">
                  <c:v>Religious</c:v>
                </c:pt>
              </c:strCache>
            </c:strRef>
          </c:cat>
          <c:val>
            <c:numRef>
              <c:f>Sheet1!$D$93:$D$100</c:f>
              <c:numCache>
                <c:formatCode>General</c:formatCode>
                <c:ptCount val="7"/>
                <c:pt idx="0">
                  <c:v>18011</c:v>
                </c:pt>
                <c:pt idx="1">
                  <c:v>17128</c:v>
                </c:pt>
                <c:pt idx="2">
                  <c:v>23722</c:v>
                </c:pt>
                <c:pt idx="3">
                  <c:v>20730</c:v>
                </c:pt>
                <c:pt idx="4">
                  <c:v>18545</c:v>
                </c:pt>
                <c:pt idx="5">
                  <c:v>19785</c:v>
                </c:pt>
                <c:pt idx="6">
                  <c:v>18891</c:v>
                </c:pt>
              </c:numCache>
            </c:numRef>
          </c:val>
          <c:extLst>
            <c:ext xmlns:c16="http://schemas.microsoft.com/office/drawing/2014/chart" uri="{C3380CC4-5D6E-409C-BE32-E72D297353CC}">
              <c16:uniqueId val="{00000000-6E37-4FE9-98D8-C8943BB195AA}"/>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accent1">
          <a:alpha val="0"/>
        </a:schemeClr>
      </a:glow>
      <a:outerShdw blurRad="1270000" dist="50800" dir="5400000" algn="ctr" rotWithShape="0">
        <a:srgbClr val="000000">
          <a:alpha val="0"/>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analysis.xlsx]Sheet1!PivotTable12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country wise tourism</a:t>
            </a:r>
          </a:p>
        </c:rich>
      </c:tx>
      <c:layout>
        <c:manualLayout>
          <c:xMode val="edge"/>
          <c:yMode val="edge"/>
          <c:x val="3.1926129715713239E-3"/>
          <c:y val="0.19193999756652935"/>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Sheet1!$C$109</c:f>
              <c:strCache>
                <c:ptCount val="1"/>
                <c:pt idx="0">
                  <c:v>Total</c:v>
                </c:pt>
              </c:strCache>
            </c:strRef>
          </c:tx>
          <c:spPr>
            <a:pattFill prst="ltUpDiag">
              <a:fgClr>
                <a:schemeClr val="accent1"/>
              </a:fgClr>
              <a:bgClr>
                <a:schemeClr val="lt1"/>
              </a:bgClr>
            </a:pattFill>
            <a:ln>
              <a:noFill/>
            </a:ln>
            <a:effectLst/>
          </c:spPr>
          <c:invertIfNegative val="0"/>
          <c:cat>
            <c:strRef>
              <c:f>Sheet1!$B$110:$B$120</c:f>
              <c:strCache>
                <c:ptCount val="10"/>
                <c:pt idx="0">
                  <c:v>Australia</c:v>
                </c:pt>
                <c:pt idx="1">
                  <c:v>Canada</c:v>
                </c:pt>
                <c:pt idx="2">
                  <c:v>China</c:v>
                </c:pt>
                <c:pt idx="3">
                  <c:v>Egypt</c:v>
                </c:pt>
                <c:pt idx="4">
                  <c:v>Germany</c:v>
                </c:pt>
                <c:pt idx="5">
                  <c:v>India</c:v>
                </c:pt>
                <c:pt idx="6">
                  <c:v>Italy</c:v>
                </c:pt>
                <c:pt idx="7">
                  <c:v>South Africa</c:v>
                </c:pt>
                <c:pt idx="8">
                  <c:v>Spain</c:v>
                </c:pt>
                <c:pt idx="9">
                  <c:v>United States</c:v>
                </c:pt>
              </c:strCache>
            </c:strRef>
          </c:cat>
          <c:val>
            <c:numRef>
              <c:f>Sheet1!$C$110:$C$120</c:f>
              <c:numCache>
                <c:formatCode>General</c:formatCode>
                <c:ptCount val="10"/>
                <c:pt idx="0">
                  <c:v>867795</c:v>
                </c:pt>
                <c:pt idx="1">
                  <c:v>858502</c:v>
                </c:pt>
                <c:pt idx="2">
                  <c:v>919085</c:v>
                </c:pt>
                <c:pt idx="3">
                  <c:v>844656</c:v>
                </c:pt>
                <c:pt idx="4">
                  <c:v>812507</c:v>
                </c:pt>
                <c:pt idx="5">
                  <c:v>817184</c:v>
                </c:pt>
                <c:pt idx="6">
                  <c:v>899872</c:v>
                </c:pt>
                <c:pt idx="7">
                  <c:v>903491</c:v>
                </c:pt>
                <c:pt idx="8">
                  <c:v>768082</c:v>
                </c:pt>
                <c:pt idx="9">
                  <c:v>687788</c:v>
                </c:pt>
              </c:numCache>
            </c:numRef>
          </c:val>
          <c:extLst>
            <c:ext xmlns:c16="http://schemas.microsoft.com/office/drawing/2014/chart" uri="{C3380CC4-5D6E-409C-BE32-E72D297353CC}">
              <c16:uniqueId val="{00000000-1313-4ED8-A353-E5EA2A27D5EE}"/>
            </c:ext>
          </c:extLst>
        </c:ser>
        <c:dLbls>
          <c:showLegendKey val="0"/>
          <c:showVal val="0"/>
          <c:showCatName val="0"/>
          <c:showSerName val="0"/>
          <c:showPercent val="0"/>
          <c:showBubbleSize val="0"/>
        </c:dLbls>
        <c:gapWidth val="269"/>
        <c:overlap val="-20"/>
        <c:axId val="776379551"/>
        <c:axId val="776382911"/>
      </c:barChart>
      <c:catAx>
        <c:axId val="7763795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76382911"/>
        <c:crosses val="autoZero"/>
        <c:auto val="1"/>
        <c:lblAlgn val="ctr"/>
        <c:lblOffset val="100"/>
        <c:noMultiLvlLbl val="0"/>
      </c:catAx>
      <c:valAx>
        <c:axId val="776382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637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accent1"/>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Presentation travel tourism Data analysis.xlsx]Sheet1!PivotTable6</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Spending USD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Sheet1!$C$72</c:f>
              <c:strCache>
                <c:ptCount val="1"/>
                <c:pt idx="0">
                  <c:v>Total</c:v>
                </c:pt>
              </c:strCache>
            </c:strRef>
          </c:tx>
          <c:spPr>
            <a:solidFill>
              <a:schemeClr val="accent1">
                <a:alpha val="85000"/>
              </a:schemeClr>
            </a:solidFill>
            <a:ln>
              <a:noFill/>
            </a:ln>
            <a:effectLst>
              <a:innerShdw dist="12700" dir="16200000">
                <a:schemeClr val="lt1"/>
              </a:innerShdw>
            </a:effectLst>
          </c:spPr>
          <c:cat>
            <c:strRef>
              <c:f>Sheet1!$B$73:$B$74</c:f>
              <c:strCache>
                <c:ptCount val="1"/>
                <c:pt idx="0">
                  <c:v>2020</c:v>
                </c:pt>
              </c:strCache>
            </c:strRef>
          </c:cat>
          <c:val>
            <c:numRef>
              <c:f>Sheet1!$C$73:$C$74</c:f>
              <c:numCache>
                <c:formatCode>General</c:formatCode>
                <c:ptCount val="1"/>
                <c:pt idx="0">
                  <c:v>9035.1</c:v>
                </c:pt>
              </c:numCache>
            </c:numRef>
          </c:val>
          <c:extLst>
            <c:ext xmlns:c16="http://schemas.microsoft.com/office/drawing/2014/chart" uri="{C3380CC4-5D6E-409C-BE32-E72D297353CC}">
              <c16:uniqueId val="{00000000-175C-420B-80FB-A9AC9758D6A4}"/>
            </c:ext>
          </c:extLst>
        </c:ser>
        <c:dLbls>
          <c:showLegendKey val="0"/>
          <c:showVal val="0"/>
          <c:showCatName val="0"/>
          <c:showSerName val="0"/>
          <c:showPercent val="0"/>
          <c:showBubbleSize val="0"/>
        </c:dLbls>
        <c:axId val="776412191"/>
        <c:axId val="776427551"/>
      </c:areaChart>
      <c:catAx>
        <c:axId val="7764121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6427551"/>
        <c:crosses val="autoZero"/>
        <c:auto val="1"/>
        <c:lblAlgn val="ctr"/>
        <c:lblOffset val="100"/>
        <c:noMultiLvlLbl val="0"/>
      </c:catAx>
      <c:valAx>
        <c:axId val="7764275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64121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jp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9</xdr:col>
      <xdr:colOff>1394460</xdr:colOff>
      <xdr:row>3</xdr:row>
      <xdr:rowOff>129540</xdr:rowOff>
    </xdr:from>
    <xdr:to>
      <xdr:col>10</xdr:col>
      <xdr:colOff>1600200</xdr:colOff>
      <xdr:row>17</xdr:row>
      <xdr:rowOff>36195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2E70F55B-47B9-E284-613D-2997E79C72C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42060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213360</xdr:colOff>
      <xdr:row>5</xdr:row>
      <xdr:rowOff>83821</xdr:rowOff>
    </xdr:from>
    <xdr:to>
      <xdr:col>8</xdr:col>
      <xdr:colOff>1371600</xdr:colOff>
      <xdr:row>14</xdr:row>
      <xdr:rowOff>53341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0DCAF9B-D807-0B51-929F-F185E5B6F5E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06840" y="998221"/>
              <a:ext cx="176784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1257300</xdr:colOff>
      <xdr:row>5</xdr:row>
      <xdr:rowOff>68581</xdr:rowOff>
    </xdr:from>
    <xdr:to>
      <xdr:col>9</xdr:col>
      <xdr:colOff>1409700</xdr:colOff>
      <xdr:row>17</xdr:row>
      <xdr:rowOff>53341</xdr:rowOff>
    </xdr:to>
    <mc:AlternateContent xmlns:mc="http://schemas.openxmlformats.org/markup-compatibility/2006" xmlns:a14="http://schemas.microsoft.com/office/drawing/2010/main">
      <mc:Choice Requires="a14">
        <xdr:graphicFrame macro="">
          <xdr:nvGraphicFramePr>
            <xdr:cNvPr id="4" name="Purpose_of_Visit">
              <a:extLst>
                <a:ext uri="{FF2B5EF4-FFF2-40B4-BE49-F238E27FC236}">
                  <a16:creationId xmlns:a16="http://schemas.microsoft.com/office/drawing/2014/main" id="{8DE86D5B-4E78-5200-33D2-F2A96E983CAF}"/>
                </a:ext>
              </a:extLst>
            </xdr:cNvPr>
            <xdr:cNvGraphicFramePr/>
          </xdr:nvGraphicFramePr>
          <xdr:xfrm>
            <a:off x="0" y="0"/>
            <a:ext cx="0" cy="0"/>
          </xdr:xfrm>
          <a:graphic>
            <a:graphicData uri="http://schemas.microsoft.com/office/drawing/2010/slicer">
              <sle:slicer xmlns:sle="http://schemas.microsoft.com/office/drawing/2010/slicer" name="Purpose_of_Visit"/>
            </a:graphicData>
          </a:graphic>
        </xdr:graphicFrame>
      </mc:Choice>
      <mc:Fallback xmlns="">
        <xdr:sp macro="" textlink="">
          <xdr:nvSpPr>
            <xdr:cNvPr id="0" name=""/>
            <xdr:cNvSpPr>
              <a:spLocks noTextEdit="1"/>
            </xdr:cNvSpPr>
          </xdr:nvSpPr>
          <xdr:spPr>
            <a:xfrm>
              <a:off x="10660380" y="982981"/>
              <a:ext cx="177546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14</xdr:row>
      <xdr:rowOff>148590</xdr:rowOff>
    </xdr:from>
    <xdr:to>
      <xdr:col>6</xdr:col>
      <xdr:colOff>365760</xdr:colOff>
      <xdr:row>30</xdr:row>
      <xdr:rowOff>68580</xdr:rowOff>
    </xdr:to>
    <xdr:graphicFrame macro="">
      <xdr:nvGraphicFramePr>
        <xdr:cNvPr id="5" name="Chart 4">
          <a:extLst>
            <a:ext uri="{FF2B5EF4-FFF2-40B4-BE49-F238E27FC236}">
              <a16:creationId xmlns:a16="http://schemas.microsoft.com/office/drawing/2014/main" id="{AA19C0CB-6050-92B5-93D3-A1A999E6C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434340</xdr:colOff>
      <xdr:row>40</xdr:row>
      <xdr:rowOff>41910</xdr:rowOff>
    </xdr:from>
    <xdr:to>
      <xdr:col>6</xdr:col>
      <xdr:colOff>510540</xdr:colOff>
      <xdr:row>53</xdr:row>
      <xdr:rowOff>38100</xdr:rowOff>
    </xdr:to>
    <xdr:graphicFrame macro="">
      <xdr:nvGraphicFramePr>
        <xdr:cNvPr id="6" name="Chart 5">
          <a:extLst>
            <a:ext uri="{FF2B5EF4-FFF2-40B4-BE49-F238E27FC236}">
              <a16:creationId xmlns:a16="http://schemas.microsoft.com/office/drawing/2014/main" id="{150FE6E4-A042-4787-44DA-A4156F97E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55</xdr:row>
      <xdr:rowOff>148590</xdr:rowOff>
    </xdr:from>
    <xdr:to>
      <xdr:col>6</xdr:col>
      <xdr:colOff>243840</xdr:colOff>
      <xdr:row>69</xdr:row>
      <xdr:rowOff>45720</xdr:rowOff>
    </xdr:to>
    <xdr:graphicFrame macro="">
      <xdr:nvGraphicFramePr>
        <xdr:cNvPr id="7" name="Chart 6">
          <a:extLst>
            <a:ext uri="{FF2B5EF4-FFF2-40B4-BE49-F238E27FC236}">
              <a16:creationId xmlns:a16="http://schemas.microsoft.com/office/drawing/2014/main" id="{2914714D-838A-2163-478E-4CF3CC120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182880</xdr:colOff>
      <xdr:row>140</xdr:row>
      <xdr:rowOff>148590</xdr:rowOff>
    </xdr:from>
    <xdr:to>
      <xdr:col>7</xdr:col>
      <xdr:colOff>289560</xdr:colOff>
      <xdr:row>155</xdr:row>
      <xdr:rowOff>148590</xdr:rowOff>
    </xdr:to>
    <xdr:graphicFrame macro="">
      <xdr:nvGraphicFramePr>
        <xdr:cNvPr id="9" name="Chart 8">
          <a:extLst>
            <a:ext uri="{FF2B5EF4-FFF2-40B4-BE49-F238E27FC236}">
              <a16:creationId xmlns:a16="http://schemas.microsoft.com/office/drawing/2014/main" id="{B62979D9-0B99-B1CE-9FB0-A7C963556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563880</xdr:colOff>
      <xdr:row>70</xdr:row>
      <xdr:rowOff>95250</xdr:rowOff>
    </xdr:from>
    <xdr:to>
      <xdr:col>8</xdr:col>
      <xdr:colOff>60960</xdr:colOff>
      <xdr:row>85</xdr:row>
      <xdr:rowOff>95250</xdr:rowOff>
    </xdr:to>
    <xdr:graphicFrame macro="">
      <xdr:nvGraphicFramePr>
        <xdr:cNvPr id="10" name="Chart 9">
          <a:extLst>
            <a:ext uri="{FF2B5EF4-FFF2-40B4-BE49-F238E27FC236}">
              <a16:creationId xmlns:a16="http://schemas.microsoft.com/office/drawing/2014/main" id="{0450961C-7F9A-E43A-B90D-EA4840AE0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289560</xdr:colOff>
      <xdr:row>88</xdr:row>
      <xdr:rowOff>167640</xdr:rowOff>
    </xdr:from>
    <xdr:to>
      <xdr:col>8</xdr:col>
      <xdr:colOff>624840</xdr:colOff>
      <xdr:row>100</xdr:row>
      <xdr:rowOff>121920</xdr:rowOff>
    </xdr:to>
    <xdr:graphicFrame macro="">
      <xdr:nvGraphicFramePr>
        <xdr:cNvPr id="11" name="Chart 10">
          <a:extLst>
            <a:ext uri="{FF2B5EF4-FFF2-40B4-BE49-F238E27FC236}">
              <a16:creationId xmlns:a16="http://schemas.microsoft.com/office/drawing/2014/main" id="{C18D2D97-4631-F45E-E3DA-3FC27DD49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579120</xdr:colOff>
      <xdr:row>107</xdr:row>
      <xdr:rowOff>118110</xdr:rowOff>
    </xdr:from>
    <xdr:to>
      <xdr:col>7</xdr:col>
      <xdr:colOff>274320</xdr:colOff>
      <xdr:row>122</xdr:row>
      <xdr:rowOff>118110</xdr:rowOff>
    </xdr:to>
    <xdr:graphicFrame macro="">
      <xdr:nvGraphicFramePr>
        <xdr:cNvPr id="12" name="Chart 11">
          <a:extLst>
            <a:ext uri="{FF2B5EF4-FFF2-40B4-BE49-F238E27FC236}">
              <a16:creationId xmlns:a16="http://schemas.microsoft.com/office/drawing/2014/main" id="{5F5F2E8A-0CA5-8452-1D86-70BB8CB62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0</xdr:row>
      <xdr:rowOff>0</xdr:rowOff>
    </xdr:from>
    <xdr:to>
      <xdr:col>22</xdr:col>
      <xdr:colOff>381000</xdr:colOff>
      <xdr:row>31</xdr:row>
      <xdr:rowOff>59337</xdr:rowOff>
    </xdr:to>
    <xdr:pic>
      <xdr:nvPicPr>
        <xdr:cNvPr id="4" name="Picture 3">
          <a:extLst>
            <a:ext uri="{FF2B5EF4-FFF2-40B4-BE49-F238E27FC236}">
              <a16:creationId xmlns:a16="http://schemas.microsoft.com/office/drawing/2014/main" id="{A7B0D0C9-B0EC-AE0F-67EE-324D0BBB75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4780" y="0"/>
          <a:ext cx="13647420" cy="5728617"/>
        </a:xfrm>
        <a:prstGeom prst="rect">
          <a:avLst/>
        </a:prstGeom>
      </xdr:spPr>
    </xdr:pic>
    <xdr:clientData/>
  </xdr:twoCellAnchor>
  <xdr:twoCellAnchor>
    <xdr:from>
      <xdr:col>0</xdr:col>
      <xdr:colOff>167640</xdr:colOff>
      <xdr:row>0</xdr:row>
      <xdr:rowOff>83820</xdr:rowOff>
    </xdr:from>
    <xdr:to>
      <xdr:col>2</xdr:col>
      <xdr:colOff>266700</xdr:colOff>
      <xdr:row>28</xdr:row>
      <xdr:rowOff>91440</xdr:rowOff>
    </xdr:to>
    <xdr:sp macro="" textlink="">
      <xdr:nvSpPr>
        <xdr:cNvPr id="5" name="Rectangle 4">
          <a:extLst>
            <a:ext uri="{FF2B5EF4-FFF2-40B4-BE49-F238E27FC236}">
              <a16:creationId xmlns:a16="http://schemas.microsoft.com/office/drawing/2014/main" id="{BBBA1C67-1AE8-D984-041D-969882EECBC0}"/>
            </a:ext>
          </a:extLst>
        </xdr:cNvPr>
        <xdr:cNvSpPr/>
      </xdr:nvSpPr>
      <xdr:spPr>
        <a:xfrm>
          <a:off x="167640" y="83820"/>
          <a:ext cx="1318260" cy="5128260"/>
        </a:xfrm>
        <a:prstGeom prst="rect">
          <a:avLst/>
        </a:prstGeom>
        <a:effectLst>
          <a:softEdge rad="889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106680</xdr:colOff>
      <xdr:row>7</xdr:row>
      <xdr:rowOff>121920</xdr:rowOff>
    </xdr:from>
    <xdr:to>
      <xdr:col>22</xdr:col>
      <xdr:colOff>228600</xdr:colOff>
      <xdr:row>13</xdr:row>
      <xdr:rowOff>152400</xdr:rowOff>
    </xdr:to>
    <mc:AlternateContent xmlns:mc="http://schemas.openxmlformats.org/markup-compatibility/2006" xmlns:a14="http://schemas.microsoft.com/office/drawing/2010/main">
      <mc:Choice Requires="a14">
        <xdr:graphicFrame macro="">
          <xdr:nvGraphicFramePr>
            <xdr:cNvPr id="6" name="Year 2">
              <a:extLst>
                <a:ext uri="{FF2B5EF4-FFF2-40B4-BE49-F238E27FC236}">
                  <a16:creationId xmlns:a16="http://schemas.microsoft.com/office/drawing/2014/main" id="{AAFBA709-3D6F-4EE4-96E0-E3153E2F385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298680" y="1402080"/>
              <a:ext cx="134112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0</xdr:row>
      <xdr:rowOff>121920</xdr:rowOff>
    </xdr:from>
    <xdr:to>
      <xdr:col>22</xdr:col>
      <xdr:colOff>259080</xdr:colOff>
      <xdr:row>7</xdr:row>
      <xdr:rowOff>68580</xdr:rowOff>
    </xdr:to>
    <mc:AlternateContent xmlns:mc="http://schemas.openxmlformats.org/markup-compatibility/2006" xmlns:a14="http://schemas.microsoft.com/office/drawing/2010/main">
      <mc:Choice Requires="a14">
        <xdr:graphicFrame macro="">
          <xdr:nvGraphicFramePr>
            <xdr:cNvPr id="7" name="Purpose_of_Visit 2">
              <a:extLst>
                <a:ext uri="{FF2B5EF4-FFF2-40B4-BE49-F238E27FC236}">
                  <a16:creationId xmlns:a16="http://schemas.microsoft.com/office/drawing/2014/main" id="{E72DF623-F475-4D4B-9B03-D773E387CD27}"/>
                </a:ext>
              </a:extLst>
            </xdr:cNvPr>
            <xdr:cNvGraphicFramePr/>
          </xdr:nvGraphicFramePr>
          <xdr:xfrm>
            <a:off x="0" y="0"/>
            <a:ext cx="0" cy="0"/>
          </xdr:xfrm>
          <a:graphic>
            <a:graphicData uri="http://schemas.microsoft.com/office/drawing/2010/slicer">
              <sle:slicer xmlns:sle="http://schemas.microsoft.com/office/drawing/2010/slicer" name="Purpose_of_Visit 2"/>
            </a:graphicData>
          </a:graphic>
        </xdr:graphicFrame>
      </mc:Choice>
      <mc:Fallback xmlns="">
        <xdr:sp macro="" textlink="">
          <xdr:nvSpPr>
            <xdr:cNvPr id="0" name=""/>
            <xdr:cNvSpPr>
              <a:spLocks noTextEdit="1"/>
            </xdr:cNvSpPr>
          </xdr:nvSpPr>
          <xdr:spPr>
            <a:xfrm>
              <a:off x="12275820" y="121920"/>
              <a:ext cx="139446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388620</xdr:colOff>
      <xdr:row>0</xdr:row>
      <xdr:rowOff>121920</xdr:rowOff>
    </xdr:from>
    <xdr:to>
      <xdr:col>20</xdr:col>
      <xdr:colOff>7620</xdr:colOff>
      <xdr:row>13</xdr:row>
      <xdr:rowOff>144780</xdr:rowOff>
    </xdr:to>
    <mc:AlternateContent xmlns:mc="http://schemas.openxmlformats.org/markup-compatibility/2006" xmlns:a14="http://schemas.microsoft.com/office/drawing/2010/main">
      <mc:Choice Requires="a14">
        <xdr:graphicFrame macro="">
          <xdr:nvGraphicFramePr>
            <xdr:cNvPr id="8" name="Country 2">
              <a:extLst>
                <a:ext uri="{FF2B5EF4-FFF2-40B4-BE49-F238E27FC236}">
                  <a16:creationId xmlns:a16="http://schemas.microsoft.com/office/drawing/2014/main" id="{65E0BF18-B99B-4369-A1C6-0111C82D2EE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0751820" y="121920"/>
              <a:ext cx="14478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548640</xdr:colOff>
      <xdr:row>0</xdr:row>
      <xdr:rowOff>99060</xdr:rowOff>
    </xdr:from>
    <xdr:to>
      <xdr:col>13</xdr:col>
      <xdr:colOff>137160</xdr:colOff>
      <xdr:row>3</xdr:row>
      <xdr:rowOff>152400</xdr:rowOff>
    </xdr:to>
    <xdr:sp macro="" textlink="">
      <xdr:nvSpPr>
        <xdr:cNvPr id="10" name="TextBox 9">
          <a:extLst>
            <a:ext uri="{FF2B5EF4-FFF2-40B4-BE49-F238E27FC236}">
              <a16:creationId xmlns:a16="http://schemas.microsoft.com/office/drawing/2014/main" id="{0285781F-C097-42DA-F71A-378ECC38CDD3}"/>
            </a:ext>
          </a:extLst>
        </xdr:cNvPr>
        <xdr:cNvSpPr txBox="1"/>
      </xdr:nvSpPr>
      <xdr:spPr>
        <a:xfrm>
          <a:off x="4206240" y="99060"/>
          <a:ext cx="3855720" cy="601980"/>
        </a:xfrm>
        <a:prstGeom prst="rect">
          <a:avLst/>
        </a:prstGeom>
        <a:solidFill>
          <a:schemeClr val="accent2">
            <a:lumMod val="75000"/>
          </a:schemeClr>
        </a:solidFill>
        <a:ln w="9525" cmpd="sng">
          <a:solidFill>
            <a:schemeClr val="lt1">
              <a:shade val="50000"/>
            </a:schemeClr>
          </a:solidFill>
        </a:ln>
        <a:effectLst>
          <a:softEdge rad="660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1" u="sng"/>
            <a:t>Travel and </a:t>
          </a:r>
          <a:r>
            <a:rPr lang="en-IN" sz="3600" b="1" i="1" u="sng">
              <a:solidFill>
                <a:schemeClr val="tx1"/>
              </a:solidFill>
            </a:rPr>
            <a:t>Tourism</a:t>
          </a:r>
        </a:p>
      </xdr:txBody>
    </xdr:sp>
    <xdr:clientData/>
  </xdr:twoCellAnchor>
  <xdr:twoCellAnchor>
    <xdr:from>
      <xdr:col>2</xdr:col>
      <xdr:colOff>266700</xdr:colOff>
      <xdr:row>3</xdr:row>
      <xdr:rowOff>137160</xdr:rowOff>
    </xdr:from>
    <xdr:to>
      <xdr:col>7</xdr:col>
      <xdr:colOff>342900</xdr:colOff>
      <xdr:row>16</xdr:row>
      <xdr:rowOff>160020</xdr:rowOff>
    </xdr:to>
    <xdr:graphicFrame macro="">
      <xdr:nvGraphicFramePr>
        <xdr:cNvPr id="11" name="Chart 10">
          <a:extLst>
            <a:ext uri="{FF2B5EF4-FFF2-40B4-BE49-F238E27FC236}">
              <a16:creationId xmlns:a16="http://schemas.microsoft.com/office/drawing/2014/main" id="{075FA737-4E0E-4923-8A88-DE77F34AE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358140</xdr:colOff>
      <xdr:row>1</xdr:row>
      <xdr:rowOff>45720</xdr:rowOff>
    </xdr:from>
    <xdr:to>
      <xdr:col>2</xdr:col>
      <xdr:colOff>83820</xdr:colOff>
      <xdr:row>5</xdr:row>
      <xdr:rowOff>175260</xdr:rowOff>
    </xdr:to>
    <xdr:sp macro="" textlink="">
      <xdr:nvSpPr>
        <xdr:cNvPr id="13" name="TextBox 12">
          <a:extLst>
            <a:ext uri="{FF2B5EF4-FFF2-40B4-BE49-F238E27FC236}">
              <a16:creationId xmlns:a16="http://schemas.microsoft.com/office/drawing/2014/main" id="{1DBABE25-F36F-BEAC-3EB6-EF5F3B08435A}"/>
            </a:ext>
          </a:extLst>
        </xdr:cNvPr>
        <xdr:cNvSpPr txBox="1"/>
      </xdr:nvSpPr>
      <xdr:spPr>
        <a:xfrm>
          <a:off x="358140" y="228600"/>
          <a:ext cx="944880" cy="8610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0" i="0" u="none" strike="noStrike">
              <a:solidFill>
                <a:schemeClr val="dk1"/>
              </a:solidFill>
              <a:effectLst/>
              <a:latin typeface="+mn-lt"/>
              <a:ea typeface="+mn-ea"/>
              <a:cs typeface="+mn-cs"/>
            </a:rPr>
            <a:t>12963941</a:t>
          </a:r>
          <a:r>
            <a:rPr lang="en-IN">
              <a:effectLst/>
            </a:rPr>
            <a:t> </a:t>
          </a:r>
          <a:endParaRPr lang="en-IN" sz="1100"/>
        </a:p>
      </xdr:txBody>
    </xdr:sp>
    <xdr:clientData/>
  </xdr:twoCellAnchor>
  <xdr:twoCellAnchor>
    <xdr:from>
      <xdr:col>0</xdr:col>
      <xdr:colOff>350520</xdr:colOff>
      <xdr:row>6</xdr:row>
      <xdr:rowOff>91440</xdr:rowOff>
    </xdr:from>
    <xdr:to>
      <xdr:col>2</xdr:col>
      <xdr:colOff>83820</xdr:colOff>
      <xdr:row>12</xdr:row>
      <xdr:rowOff>99060</xdr:rowOff>
    </xdr:to>
    <xdr:sp macro="" textlink="">
      <xdr:nvSpPr>
        <xdr:cNvPr id="14" name="TextBox 13">
          <a:extLst>
            <a:ext uri="{FF2B5EF4-FFF2-40B4-BE49-F238E27FC236}">
              <a16:creationId xmlns:a16="http://schemas.microsoft.com/office/drawing/2014/main" id="{38C4B14A-06A8-44E5-A4FC-B7A78B3FABED}"/>
            </a:ext>
          </a:extLst>
        </xdr:cNvPr>
        <xdr:cNvSpPr txBox="1"/>
      </xdr:nvSpPr>
      <xdr:spPr>
        <a:xfrm>
          <a:off x="350520" y="1188720"/>
          <a:ext cx="952500" cy="1104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0" i="0" u="none" strike="noStrike">
              <a:solidFill>
                <a:schemeClr val="dk1"/>
              </a:solidFill>
              <a:effectLst/>
              <a:latin typeface="+mn-lt"/>
              <a:ea typeface="+mn-ea"/>
              <a:cs typeface="+mn-cs"/>
            </a:rPr>
            <a:t>280094.2</a:t>
          </a:r>
          <a:r>
            <a:rPr lang="en-IN">
              <a:effectLst/>
            </a:rPr>
            <a:t> </a:t>
          </a:r>
          <a:endParaRPr lang="en-IN" sz="1100"/>
        </a:p>
      </xdr:txBody>
    </xdr:sp>
    <xdr:clientData/>
  </xdr:twoCellAnchor>
  <xdr:twoCellAnchor>
    <xdr:from>
      <xdr:col>0</xdr:col>
      <xdr:colOff>327660</xdr:colOff>
      <xdr:row>13</xdr:row>
      <xdr:rowOff>99060</xdr:rowOff>
    </xdr:from>
    <xdr:to>
      <xdr:col>2</xdr:col>
      <xdr:colOff>129540</xdr:colOff>
      <xdr:row>19</xdr:row>
      <xdr:rowOff>114300</xdr:rowOff>
    </xdr:to>
    <xdr:sp macro="" textlink="">
      <xdr:nvSpPr>
        <xdr:cNvPr id="15" name="TextBox 14">
          <a:extLst>
            <a:ext uri="{FF2B5EF4-FFF2-40B4-BE49-F238E27FC236}">
              <a16:creationId xmlns:a16="http://schemas.microsoft.com/office/drawing/2014/main" id="{4370BA99-F255-B735-9DB6-954F0AC6EB54}"/>
            </a:ext>
          </a:extLst>
        </xdr:cNvPr>
        <xdr:cNvSpPr txBox="1"/>
      </xdr:nvSpPr>
      <xdr:spPr>
        <a:xfrm>
          <a:off x="327660" y="2476500"/>
          <a:ext cx="1021080" cy="11125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0" i="0" u="none" strike="noStrike">
              <a:solidFill>
                <a:schemeClr val="dk1"/>
              </a:solidFill>
              <a:effectLst/>
              <a:latin typeface="+mn-lt"/>
              <a:ea typeface="+mn-ea"/>
              <a:cs typeface="+mn-cs"/>
            </a:rPr>
            <a:t>32934541.8</a:t>
          </a:r>
          <a:r>
            <a:rPr lang="en-IN">
              <a:effectLst/>
            </a:rPr>
            <a:t> </a:t>
          </a:r>
          <a:endParaRPr lang="en-IN" sz="1100"/>
        </a:p>
      </xdr:txBody>
    </xdr:sp>
    <xdr:clientData/>
  </xdr:twoCellAnchor>
  <xdr:twoCellAnchor>
    <xdr:from>
      <xdr:col>0</xdr:col>
      <xdr:colOff>365760</xdr:colOff>
      <xdr:row>20</xdr:row>
      <xdr:rowOff>76200</xdr:rowOff>
    </xdr:from>
    <xdr:to>
      <xdr:col>2</xdr:col>
      <xdr:colOff>106680</xdr:colOff>
      <xdr:row>26</xdr:row>
      <xdr:rowOff>129540</xdr:rowOff>
    </xdr:to>
    <xdr:sp macro="" textlink="">
      <xdr:nvSpPr>
        <xdr:cNvPr id="16" name="TextBox 15">
          <a:extLst>
            <a:ext uri="{FF2B5EF4-FFF2-40B4-BE49-F238E27FC236}">
              <a16:creationId xmlns:a16="http://schemas.microsoft.com/office/drawing/2014/main" id="{1544EDFB-9922-A8A9-6B3F-AF75B1527E56}"/>
            </a:ext>
          </a:extLst>
        </xdr:cNvPr>
        <xdr:cNvSpPr txBox="1"/>
      </xdr:nvSpPr>
      <xdr:spPr>
        <a:xfrm>
          <a:off x="365760" y="3733800"/>
          <a:ext cx="960120" cy="11506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0" i="0" u="none" strike="noStrike">
              <a:solidFill>
                <a:schemeClr val="dk1"/>
              </a:solidFill>
              <a:effectLst/>
              <a:latin typeface="+mn-lt"/>
              <a:ea typeface="+mn-ea"/>
              <a:cs typeface="+mn-cs"/>
            </a:rPr>
            <a:t>29762</a:t>
          </a:r>
          <a:r>
            <a:rPr lang="en-IN">
              <a:effectLst/>
            </a:rPr>
            <a:t> </a:t>
          </a:r>
          <a:endParaRPr lang="en-IN" sz="1100"/>
        </a:p>
      </xdr:txBody>
    </xdr:sp>
    <xdr:clientData/>
  </xdr:twoCellAnchor>
  <xdr:oneCellAnchor>
    <xdr:from>
      <xdr:col>3</xdr:col>
      <xdr:colOff>68580</xdr:colOff>
      <xdr:row>4</xdr:row>
      <xdr:rowOff>160020</xdr:rowOff>
    </xdr:from>
    <xdr:ext cx="184731" cy="264560"/>
    <xdr:sp macro="" textlink="">
      <xdr:nvSpPr>
        <xdr:cNvPr id="17" name="TextBox 16">
          <a:extLst>
            <a:ext uri="{FF2B5EF4-FFF2-40B4-BE49-F238E27FC236}">
              <a16:creationId xmlns:a16="http://schemas.microsoft.com/office/drawing/2014/main" id="{338A42DD-CA54-4BEC-CAE5-43972DD8C41A}"/>
            </a:ext>
          </a:extLst>
        </xdr:cNvPr>
        <xdr:cNvSpPr txBox="1"/>
      </xdr:nvSpPr>
      <xdr:spPr>
        <a:xfrm>
          <a:off x="1897380" y="891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358140</xdr:colOff>
      <xdr:row>6</xdr:row>
      <xdr:rowOff>129540</xdr:rowOff>
    </xdr:from>
    <xdr:to>
      <xdr:col>16</xdr:col>
      <xdr:colOff>137160</xdr:colOff>
      <xdr:row>17</xdr:row>
      <xdr:rowOff>76200</xdr:rowOff>
    </xdr:to>
    <xdr:graphicFrame macro="">
      <xdr:nvGraphicFramePr>
        <xdr:cNvPr id="18" name="Chart 17">
          <a:extLst>
            <a:ext uri="{FF2B5EF4-FFF2-40B4-BE49-F238E27FC236}">
              <a16:creationId xmlns:a16="http://schemas.microsoft.com/office/drawing/2014/main" id="{DE4DA08D-5EB8-4783-845D-EF16EA4DC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281940</xdr:colOff>
      <xdr:row>17</xdr:row>
      <xdr:rowOff>30480</xdr:rowOff>
    </xdr:from>
    <xdr:to>
      <xdr:col>6</xdr:col>
      <xdr:colOff>457200</xdr:colOff>
      <xdr:row>27</xdr:row>
      <xdr:rowOff>15240</xdr:rowOff>
    </xdr:to>
    <xdr:graphicFrame macro="">
      <xdr:nvGraphicFramePr>
        <xdr:cNvPr id="19" name="Chart 18">
          <a:extLst>
            <a:ext uri="{FF2B5EF4-FFF2-40B4-BE49-F238E27FC236}">
              <a16:creationId xmlns:a16="http://schemas.microsoft.com/office/drawing/2014/main" id="{87D42781-A70F-4623-AAD4-8B1FAEE6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312420</xdr:colOff>
      <xdr:row>14</xdr:row>
      <xdr:rowOff>114300</xdr:rowOff>
    </xdr:from>
    <xdr:to>
      <xdr:col>22</xdr:col>
      <xdr:colOff>327660</xdr:colOff>
      <xdr:row>27</xdr:row>
      <xdr:rowOff>38100</xdr:rowOff>
    </xdr:to>
    <xdr:graphicFrame macro="">
      <xdr:nvGraphicFramePr>
        <xdr:cNvPr id="20" name="Chart 19">
          <a:extLst>
            <a:ext uri="{FF2B5EF4-FFF2-40B4-BE49-F238E27FC236}">
              <a16:creationId xmlns:a16="http://schemas.microsoft.com/office/drawing/2014/main" id="{B9E84F15-BD1B-4FB6-BF80-CE95713E5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487680</xdr:colOff>
      <xdr:row>17</xdr:row>
      <xdr:rowOff>45720</xdr:rowOff>
    </xdr:from>
    <xdr:to>
      <xdr:col>16</xdr:col>
      <xdr:colOff>236220</xdr:colOff>
      <xdr:row>27</xdr:row>
      <xdr:rowOff>53340</xdr:rowOff>
    </xdr:to>
    <xdr:graphicFrame macro="">
      <xdr:nvGraphicFramePr>
        <xdr:cNvPr id="22" name="Chart 21">
          <a:extLst>
            <a:ext uri="{FF2B5EF4-FFF2-40B4-BE49-F238E27FC236}">
              <a16:creationId xmlns:a16="http://schemas.microsoft.com/office/drawing/2014/main" id="{854CB160-B090-40A2-824E-3567FA1D0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434340</xdr:colOff>
      <xdr:row>1</xdr:row>
      <xdr:rowOff>129540</xdr:rowOff>
    </xdr:from>
    <xdr:to>
      <xdr:col>2</xdr:col>
      <xdr:colOff>7620</xdr:colOff>
      <xdr:row>4</xdr:row>
      <xdr:rowOff>76200</xdr:rowOff>
    </xdr:to>
    <xdr:sp macro="" textlink="">
      <xdr:nvSpPr>
        <xdr:cNvPr id="25" name="TextBox 24">
          <a:extLst>
            <a:ext uri="{FF2B5EF4-FFF2-40B4-BE49-F238E27FC236}">
              <a16:creationId xmlns:a16="http://schemas.microsoft.com/office/drawing/2014/main" id="{0A86110F-746E-DDF5-4AE9-DDFE51D1C48E}"/>
            </a:ext>
          </a:extLst>
        </xdr:cNvPr>
        <xdr:cNvSpPr txBox="1"/>
      </xdr:nvSpPr>
      <xdr:spPr>
        <a:xfrm>
          <a:off x="434340" y="312420"/>
          <a:ext cx="79248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t>No.of</a:t>
          </a:r>
          <a:r>
            <a:rPr lang="en-IN" sz="1000" baseline="0"/>
            <a:t> </a:t>
          </a:r>
          <a:r>
            <a:rPr lang="en-IN" sz="1000"/>
            <a:t>Tourists</a:t>
          </a:r>
        </a:p>
      </xdr:txBody>
    </xdr:sp>
    <xdr:clientData/>
  </xdr:twoCellAnchor>
  <xdr:twoCellAnchor>
    <xdr:from>
      <xdr:col>0</xdr:col>
      <xdr:colOff>449580</xdr:colOff>
      <xdr:row>6</xdr:row>
      <xdr:rowOff>144780</xdr:rowOff>
    </xdr:from>
    <xdr:to>
      <xdr:col>1</xdr:col>
      <xdr:colOff>571500</xdr:colOff>
      <xdr:row>10</xdr:row>
      <xdr:rowOff>137160</xdr:rowOff>
    </xdr:to>
    <xdr:sp macro="" textlink="">
      <xdr:nvSpPr>
        <xdr:cNvPr id="26" name="TextBox 25">
          <a:extLst>
            <a:ext uri="{FF2B5EF4-FFF2-40B4-BE49-F238E27FC236}">
              <a16:creationId xmlns:a16="http://schemas.microsoft.com/office/drawing/2014/main" id="{2A809498-FD31-2D27-2B1E-6243E33F5680}"/>
            </a:ext>
          </a:extLst>
        </xdr:cNvPr>
        <xdr:cNvSpPr txBox="1"/>
      </xdr:nvSpPr>
      <xdr:spPr>
        <a:xfrm>
          <a:off x="449580" y="1242060"/>
          <a:ext cx="731520" cy="7239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Tourist spending USD</a:t>
          </a:r>
        </a:p>
      </xdr:txBody>
    </xdr:sp>
    <xdr:clientData/>
  </xdr:twoCellAnchor>
  <xdr:oneCellAnchor>
    <xdr:from>
      <xdr:col>5</xdr:col>
      <xdr:colOff>342900</xdr:colOff>
      <xdr:row>10</xdr:row>
      <xdr:rowOff>121920</xdr:rowOff>
    </xdr:from>
    <xdr:ext cx="184731" cy="264560"/>
    <xdr:sp macro="" textlink="">
      <xdr:nvSpPr>
        <xdr:cNvPr id="27" name="TextBox 26">
          <a:extLst>
            <a:ext uri="{FF2B5EF4-FFF2-40B4-BE49-F238E27FC236}">
              <a16:creationId xmlns:a16="http://schemas.microsoft.com/office/drawing/2014/main" id="{248BB44E-B63B-6E01-BF64-F28E3EF8D1E2}"/>
            </a:ext>
          </a:extLst>
        </xdr:cNvPr>
        <xdr:cNvSpPr txBox="1"/>
      </xdr:nvSpPr>
      <xdr:spPr>
        <a:xfrm>
          <a:off x="3390900" y="1950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480060</xdr:colOff>
      <xdr:row>14</xdr:row>
      <xdr:rowOff>45720</xdr:rowOff>
    </xdr:from>
    <xdr:to>
      <xdr:col>2</xdr:col>
      <xdr:colOff>76200</xdr:colOff>
      <xdr:row>18</xdr:row>
      <xdr:rowOff>15240</xdr:rowOff>
    </xdr:to>
    <xdr:sp macro="" textlink="">
      <xdr:nvSpPr>
        <xdr:cNvPr id="28" name="TextBox 27">
          <a:extLst>
            <a:ext uri="{FF2B5EF4-FFF2-40B4-BE49-F238E27FC236}">
              <a16:creationId xmlns:a16="http://schemas.microsoft.com/office/drawing/2014/main" id="{BD043223-6670-651A-93A1-EAECA23DC55F}"/>
            </a:ext>
          </a:extLst>
        </xdr:cNvPr>
        <xdr:cNvSpPr txBox="1"/>
      </xdr:nvSpPr>
      <xdr:spPr>
        <a:xfrm>
          <a:off x="480060" y="2606040"/>
          <a:ext cx="815340" cy="70104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Tourism Revenue</a:t>
          </a:r>
          <a:r>
            <a:rPr lang="en-IN" sz="1100" baseline="0"/>
            <a:t> USD</a:t>
          </a:r>
          <a:endParaRPr lang="en-IN" sz="1100"/>
        </a:p>
      </xdr:txBody>
    </xdr:sp>
    <xdr:clientData/>
  </xdr:twoCellAnchor>
  <xdr:twoCellAnchor>
    <xdr:from>
      <xdr:col>0</xdr:col>
      <xdr:colOff>525780</xdr:colOff>
      <xdr:row>21</xdr:row>
      <xdr:rowOff>7620</xdr:rowOff>
    </xdr:from>
    <xdr:to>
      <xdr:col>2</xdr:col>
      <xdr:colOff>7620</xdr:colOff>
      <xdr:row>24</xdr:row>
      <xdr:rowOff>137160</xdr:rowOff>
    </xdr:to>
    <xdr:sp macro="" textlink="">
      <xdr:nvSpPr>
        <xdr:cNvPr id="29" name="TextBox 28">
          <a:extLst>
            <a:ext uri="{FF2B5EF4-FFF2-40B4-BE49-F238E27FC236}">
              <a16:creationId xmlns:a16="http://schemas.microsoft.com/office/drawing/2014/main" id="{DEB21FF2-6DD7-F26B-1567-D2622519D945}"/>
            </a:ext>
          </a:extLst>
        </xdr:cNvPr>
        <xdr:cNvSpPr txBox="1"/>
      </xdr:nvSpPr>
      <xdr:spPr>
        <a:xfrm>
          <a:off x="525780" y="3848100"/>
          <a:ext cx="70104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100"/>
            <a:t>Number of hotels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neet Kaur" refreshedDate="46108.520825462962" createdVersion="8" refreshedVersion="8" minRefreshableVersion="3" recordCount="500" xr:uid="{E58740DA-BDFC-4735-B5EC-B07CB95E1C42}">
  <cacheSource type="worksheet">
    <worksheetSource name="Table1"/>
  </cacheSource>
  <cacheFields count="14">
    <cacheField name="Country" numFmtId="0">
      <sharedItems count="20">
        <s v="Italy"/>
        <s v="India"/>
        <s v="Japan"/>
        <s v="United Kingdom"/>
        <s v="Egypt"/>
        <s v="Brazil"/>
        <s v="United Arab Emirates"/>
        <s v="France"/>
        <s v="Turkey"/>
        <s v="Greece"/>
        <s v="Germany"/>
        <s v="United States"/>
        <s v="Spain"/>
        <s v="China"/>
        <s v="Thailand"/>
        <s v="Mexico"/>
        <s v="Canada"/>
        <s v="Australia"/>
        <s v="South Africa"/>
        <s v="Singapore"/>
      </sharedItems>
    </cacheField>
    <cacheField name="City" numFmtId="0">
      <sharedItems/>
    </cacheField>
    <cacheField name="Year" numFmtId="0">
      <sharedItems containsSemiMixedTypes="0" containsString="0" containsNumber="1" containsInteger="1" minValue="2020" maxValue="2024"/>
    </cacheField>
    <cacheField name="Number_of_Tourists" numFmtId="0">
      <sharedItems containsSemiMixedTypes="0" containsString="0" containsNumber="1" containsInteger="1" minValue="50887" maxValue="199960"/>
    </cacheField>
    <cacheField name="Purpose_of_Visit" numFmtId="0">
      <sharedItems count="7">
        <s v="Cultural"/>
        <s v="Religious"/>
        <s v="Leisure"/>
        <s v="Educational"/>
        <s v="Family Visit"/>
        <s v="Medical"/>
        <s v="Business"/>
      </sharedItems>
    </cacheField>
    <cacheField name="Tourist_Spending_USD" numFmtId="0">
      <sharedItems containsSemiMixedTypes="0" containsString="0" containsNumber="1" minValue="501.02" maxValue="4983.79"/>
    </cacheField>
    <cacheField name="Number_of_Hotels" numFmtId="0">
      <sharedItems containsSemiMixedTypes="0" containsString="0" containsNumber="1" containsInteger="1" minValue="50" maxValue="498"/>
    </cacheField>
    <cacheField name="Average_Room_Price_USD" numFmtId="0">
      <sharedItems containsSemiMixedTypes="0" containsString="0" containsNumber="1" minValue="50.57" maxValue="499.89"/>
    </cacheField>
    <cacheField name="Tourism_Revenue_USD" numFmtId="0">
      <sharedItems containsSemiMixedTypes="0" containsString="0" containsNumber="1" minValue="34185.35" maxValue="951466.74"/>
    </cacheField>
    <cacheField name="Employment_in_Tourism" numFmtId="0">
      <sharedItems containsSemiMixedTypes="0" containsString="0" containsNumber="1" containsInteger="1" minValue="5009" maxValue="49918"/>
    </cacheField>
    <cacheField name="Number_of_Flights" numFmtId="0">
      <sharedItems containsSemiMixedTypes="0" containsString="0" containsNumber="1" containsInteger="1" minValue="505" maxValue="4997"/>
    </cacheField>
    <cacheField name="Airport_Passenger_Traffic" numFmtId="0">
      <sharedItems containsSemiMixedTypes="0" containsString="0" containsNumber="1" containsInteger="1" minValue="50801" maxValue="998202"/>
    </cacheField>
    <cacheField name="Eco_Tourism_Revenue_USD" numFmtId="0">
      <sharedItems containsSemiMixedTypes="0" containsString="0" containsNumber="1" minValue="2299.0500000000002" maxValue="228408.37"/>
    </cacheField>
    <cacheField name="Number_of_Online_Reviews" numFmtId="0">
      <sharedItems containsSemiMixedTypes="0" containsString="0" containsNumber="1" containsInteger="1" minValue="110" maxValue="997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41319445" createdVersion="5" refreshedVersion="8" minRefreshableVersion="3" recordCount="0" supportSubquery="1" supportAdvancedDrill="1" xr:uid="{792632B7-E64E-4F09-9E85-3CF931DC746B}">
  <cacheSource type="external" connectionId="1"/>
  <cacheFields count="2">
    <cacheField name="[Table1].[Country].[Country]" caption="Country" numFmtId="0" level="1">
      <sharedItems containsSemiMixedTypes="0" containsNonDate="0" containsString="0"/>
    </cacheField>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hidden="1">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57638887" createdVersion="5" refreshedVersion="8" minRefreshableVersion="3" recordCount="0" supportSubquery="1" supportAdvancedDrill="1" xr:uid="{339AC0B1-B98B-41DC-887E-5DA659D63B99}">
  <cacheSource type="external" connectionId="1"/>
  <cacheFields count="6">
    <cacheField name="[Measures].[Sum of Number_of_Tourists]" caption="Sum of Number_of_Tourists" numFmtId="0" hierarchy="20" level="32767"/>
    <cacheField name="[Measures].[Sum of Tourist_Spending_USD]" caption="Sum of Tourist_Spending_USD" numFmtId="0" hierarchy="19" level="32767"/>
    <cacheField name="[Measures].[Sum of Tourism_Revenue_USD]" caption="Sum of Tourism_Revenue_USD" numFmtId="0" hierarchy="17" level="32767"/>
    <cacheField name="[Measures].[Sum of Number_of_Hotels]" caption="Sum of Number_of_Hotels" numFmtId="0" hierarchy="21" level="32767"/>
    <cacheField name="[Table1].[Country].[Country]" caption="Country" numFmtId="0" level="1">
      <sharedItems containsSemiMixedTypes="0" containsNonDate="0" containsString="0"/>
    </cacheField>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58101849" createdVersion="5" refreshedVersion="8" minRefreshableVersion="3" recordCount="0" supportSubquery="1" supportAdvancedDrill="1" xr:uid="{6BBD7D56-35A1-49E5-8858-225C01F05EAB}">
  <cacheSource type="external" connectionId="1"/>
  <cacheFields count="4">
    <cacheField name="[Measures].[Sum of Airport_Passenger_Traffic]" caption="Sum of Airport_Passenger_Traffic" numFmtId="0" hierarchy="25" level="32767"/>
    <cacheField name="[Table1].[Number_of_Tourists].[Number_of_Tourists]" caption="Number_of_Tourists" numFmtId="0" hierarchy="3" level="1">
      <sharedItems containsSemiMixedTypes="0" containsString="0" containsNumber="1" containsInteger="1" minValue="159556" maxValue="177426" count="2">
        <n v="159556"/>
        <n v="177426"/>
      </sharedItems>
      <extLst>
        <ext xmlns:x15="http://schemas.microsoft.com/office/spreadsheetml/2010/11/main" uri="{4F2E5C28-24EA-4eb8-9CBF-B6C8F9C3D259}">
          <x15:cachedUniqueNames>
            <x15:cachedUniqueName index="0" name="[Table1].[Number_of_Tourists].&amp;[159556]"/>
            <x15:cachedUniqueName index="1" name="[Table1].[Number_of_Tourists].&amp;[177426]"/>
          </x15:cachedUniqueNames>
        </ext>
      </extLst>
    </cacheField>
    <cacheField name="[Table1].[Country].[Country]" caption="Country" numFmtId="0" level="1">
      <sharedItems containsSemiMixedTypes="0" containsNonDate="0" containsString="0"/>
    </cacheField>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Number_of_Tourists]" caption="Number_of_Tourists" attribute="1" defaultMemberUniqueName="[Table1].[Number_of_Tourists].[All]" allUniqueName="[Table1].[Number_of_Tourists].[All]" dimensionUniqueName="[Table1]" displayFolder="" count="2" memberValueDatatype="20" unbalanced="0">
      <fieldsUsage count="2">
        <fieldUsage x="-1"/>
        <fieldUsage x="1"/>
      </fieldsUsage>
    </cacheHierarchy>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hidden="1">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58680557" createdVersion="5" refreshedVersion="8" minRefreshableVersion="3" recordCount="0" supportSubquery="1" supportAdvancedDrill="1" xr:uid="{D9E4DCD0-43AC-42B4-913C-108E3E4AAAD2}">
  <cacheSource type="external" connectionId="1"/>
  <cacheFields count="3">
    <cacheField name="[Table1].[Country].[Country]" caption="Country" numFmtId="0" level="1">
      <sharedItems count="1">
        <s v="United Arab Emirates"/>
      </sharedItems>
    </cacheField>
    <cacheField name="[Measures].[Sum of Tourist_Spending_USD]" caption="Sum of Tourist_Spending_USD" numFmtId="0" hierarchy="19" level="32767"/>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59375003" createdVersion="5" refreshedVersion="8" minRefreshableVersion="3" recordCount="0" supportSubquery="1" supportAdvancedDrill="1" xr:uid="{B488ADF8-52D9-4665-8C0E-E6DC66B5BA9D}">
  <cacheSource type="external" connectionId="1"/>
  <cacheFields count="4">
    <cacheField name="[Table1].[Purpose_of_Visit].[Purpose_of_Visit]" caption="Purpose_of_Visit" numFmtId="0" hierarchy="4" level="1">
      <sharedItems count="1">
        <s v="Educational"/>
      </sharedItems>
    </cacheField>
    <cacheField name="[Measures].[Sum of Number_of_Tourists]" caption="Sum of Number_of_Tourists" numFmtId="0" hierarchy="20" level="32767"/>
    <cacheField name="[Table1].[Country].[Country]" caption="Country" numFmtId="0" level="1">
      <sharedItems containsSemiMixedTypes="0" containsNonDate="0" containsString="0"/>
    </cacheField>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fieldsUsage count="2">
        <fieldUsage x="-1"/>
        <fieldUsage x="0"/>
      </fieldsUsage>
    </cacheHierarchy>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hidden="1">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59953704" createdVersion="5" refreshedVersion="8" minRefreshableVersion="3" recordCount="0" supportSubquery="1" supportAdvancedDrill="1" xr:uid="{727D8E81-3DC3-410E-8108-E533622C27F5}">
  <cacheSource type="external" connectionId="1"/>
  <cacheFields count="3">
    <cacheField name="[Table1].[Number_of_Tourists].[Number_of_Tourists]" caption="Number_of_Tourists" numFmtId="0" hierarchy="3" level="1">
      <sharedItems containsSemiMixedTypes="0" containsString="0" containsNumber="1" containsInteger="1" minValue="159556" maxValue="177426" count="2">
        <n v="159556"/>
        <n v="177426"/>
      </sharedItems>
      <extLst>
        <ext xmlns:x15="http://schemas.microsoft.com/office/spreadsheetml/2010/11/main" uri="{4F2E5C28-24EA-4eb8-9CBF-B6C8F9C3D259}">
          <x15:cachedUniqueNames>
            <x15:cachedUniqueName index="0" name="[Table1].[Number_of_Tourists].&amp;[159556]"/>
            <x15:cachedUniqueName index="1" name="[Table1].[Number_of_Tourists].&amp;[177426]"/>
          </x15:cachedUniqueNames>
        </ext>
      </extLst>
    </cacheField>
    <cacheField name="[Table1].[Country].[Country]" caption="Country" numFmtId="0" level="1">
      <sharedItems containsSemiMixedTypes="0" containsNonDate="0" containsString="0"/>
    </cacheField>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Number_of_Tourists]" caption="Number_of_Tourists" attribute="1" defaultMemberUniqueName="[Table1].[Number_of_Tourists].[All]" allUniqueName="[Table1].[Number_of_Tourists].[All]" dimensionUniqueName="[Table1]" displayFolder="" count="2" memberValueDatatype="20" unbalanced="0">
      <fieldsUsage count="2">
        <fieldUsage x="-1"/>
        <fieldUsage x="0"/>
      </fieldsUsage>
    </cacheHierarchy>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hidden="1">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63194444" createdVersion="5" refreshedVersion="8" minRefreshableVersion="3" recordCount="0" supportSubquery="1" supportAdvancedDrill="1" xr:uid="{AC5B18EE-DB85-4F9F-A92D-5F27EB9C9853}">
  <cacheSource type="external" connectionId="1"/>
  <cacheFields count="3">
    <cacheField name="[Table1].[Country].[Country]" caption="Country" numFmtId="0" level="1">
      <sharedItems count="1">
        <s v="United Arab Emirates"/>
      </sharedItems>
    </cacheField>
    <cacheField name="[Measures].[Sum of Number_of_Online_Reviews]" caption="Sum of Number_of_Online_Reviews" numFmtId="0" hierarchy="22" level="32767"/>
    <cacheField name="[Table1].[Year].[Year]" caption="Year" numFmtId="0" hierarchy="2"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hidden="1">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9.418462615744" createdVersion="5" refreshedVersion="8" minRefreshableVersion="3" recordCount="0" supportSubquery="1" supportAdvancedDrill="1" xr:uid="{B9046732-9983-409F-B259-91C1488F2BB7}">
  <cacheSource type="external" connectionId="1"/>
  <cacheFields count="3">
    <cacheField name="[Measures].[Sum of Tourist_Spending_USD]" caption="Sum of Tourist_Spending_USD" numFmtId="0" hierarchy="19" level="32767"/>
    <cacheField name="[Table1].[Year].[Year]" caption="Year" numFmtId="0" hierarchy="2" level="1">
      <sharedItems containsSemiMixedTypes="0" containsString="0" containsNumber="1" containsInteger="1" minValue="2020" maxValue="2020" count="1">
        <n v="2020"/>
      </sharedItems>
      <extLst>
        <ext xmlns:x15="http://schemas.microsoft.com/office/spreadsheetml/2010/11/main" uri="{4F2E5C28-24EA-4eb8-9CBF-B6C8F9C3D259}">
          <x15:cachedUniqueNames>
            <x15:cachedUniqueName index="0" name="[Table1].[Year].&amp;[2020]"/>
          </x15:cachedUniqueNames>
        </ext>
      </extLst>
    </cacheField>
    <cacheField name="[Table1].[Country].[Country]" caption="Country" numFmtId="0" level="1">
      <sharedItems containsSemiMixedTypes="0" containsNonDate="0" containsString="0"/>
    </cacheField>
  </cacheFields>
  <cacheHierarchies count="26">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y uniqueName="[Measures].[Sum of Number_of_Online_Reviews]" caption="Sum of Number_of_Online_Reviews" measure="1" displayFolder="" measureGroup="Table1" count="0" hidden="1">
      <extLst>
        <ext xmlns:x15="http://schemas.microsoft.com/office/spreadsheetml/2010/11/main" uri="{B97F6D7D-B522-45F9-BDA1-12C45D357490}">
          <x15:cacheHierarchy aggregatedColumn="13"/>
        </ext>
      </extLst>
    </cacheHierarchy>
    <cacheHierarchy uniqueName="[Measures].[Sum of Number_of_Flights]" caption="Sum of Number_of_Flights" measure="1" displayFolder="" measureGroup="Table1"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
        </ext>
      </extLst>
    </cacheHierarchy>
    <cacheHierarchy uniqueName="[Measures].[Sum of Airport_Passenger_Traffic]" caption="Sum of Airport_Passenger_Traffic"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neet Kaur" refreshedDate="46108.505716782405" createdVersion="3" refreshedVersion="8" minRefreshableVersion="3" recordCount="0" supportSubquery="1" supportAdvancedDrill="1" xr:uid="{EC462231-FBD9-4E37-A973-6238939A2F69}">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Number_of_Tourists]" caption="Number_of_Tourists" attribute="1" defaultMemberUniqueName="[Table1].[Number_of_Tourists].[All]" allUniqueName="[Table1].[Number_of_Tourists].[All]" dimensionUniqueName="[Table1]" displayFolder="" count="0" memberValueDatatype="20" unbalanced="0"/>
    <cacheHierarchy uniqueName="[Table1].[Purpose_of_Visit]" caption="Purpose_of_Visit" attribute="1" defaultMemberUniqueName="[Table1].[Purpose_of_Visit].[All]" allUniqueName="[Table1].[Purpose_of_Visit].[All]" dimensionUniqueName="[Table1]" displayFolder="" count="2" memberValueDatatype="130" unbalanced="0"/>
    <cacheHierarchy uniqueName="[Table1].[Tourist_Spending_USD]" caption="Tourist_Spending_USD" attribute="1" defaultMemberUniqueName="[Table1].[Tourist_Spending_USD].[All]" allUniqueName="[Table1].[Tourist_Spending_USD].[All]" dimensionUniqueName="[Table1]" displayFolder="" count="0" memberValueDatatype="5" unbalanced="0"/>
    <cacheHierarchy uniqueName="[Table1].[Number_of_Hotels]" caption="Number_of_Hotels" attribute="1" defaultMemberUniqueName="[Table1].[Number_of_Hotels].[All]" allUniqueName="[Table1].[Number_of_Hotels].[All]" dimensionUniqueName="[Table1]" displayFolder="" count="0" memberValueDatatype="20" unbalanced="0"/>
    <cacheHierarchy uniqueName="[Table1].[Average_Room_Price_USD]" caption="Average_Room_Price_USD" attribute="1" defaultMemberUniqueName="[Table1].[Average_Room_Price_USD].[All]" allUniqueName="[Table1].[Average_Room_Price_USD].[All]" dimensionUniqueName="[Table1]" displayFolder="" count="0" memberValueDatatype="5" unbalanced="0"/>
    <cacheHierarchy uniqueName="[Table1].[Tourism_Revenue_USD]" caption="Tourism_Revenue_USD" attribute="1" defaultMemberUniqueName="[Table1].[Tourism_Revenue_USD].[All]" allUniqueName="[Table1].[Tourism_Revenue_USD].[All]" dimensionUniqueName="[Table1]" displayFolder="" count="0" memberValueDatatype="5" unbalanced="0"/>
    <cacheHierarchy uniqueName="[Table1].[Employment_in_Tourism]" caption="Employment_in_Tourism" attribute="1" defaultMemberUniqueName="[Table1].[Employment_in_Tourism].[All]" allUniqueName="[Table1].[Employment_in_Tourism].[All]" dimensionUniqueName="[Table1]" displayFolder="" count="0" memberValueDatatype="20" unbalanced="0"/>
    <cacheHierarchy uniqueName="[Table1].[Number_of_Flights]" caption="Number_of_Flights" attribute="1" defaultMemberUniqueName="[Table1].[Number_of_Flights].[All]" allUniqueName="[Table1].[Number_of_Flights].[All]" dimensionUniqueName="[Table1]" displayFolder="" count="0" memberValueDatatype="20" unbalanced="0"/>
    <cacheHierarchy uniqueName="[Table1].[Airport_Passenger_Traffic]" caption="Airport_Passenger_Traffic" attribute="1" defaultMemberUniqueName="[Table1].[Airport_Passenger_Traffic].[All]" allUniqueName="[Table1].[Airport_Passenger_Traffic].[All]" dimensionUniqueName="[Table1]" displayFolder="" count="0" memberValueDatatype="20" unbalanced="0"/>
    <cacheHierarchy uniqueName="[Table1].[Eco_Tourism_Revenue_USD]" caption="Eco_Tourism_Revenue_USD" attribute="1" defaultMemberUniqueName="[Table1].[Eco_Tourism_Revenue_USD].[All]" allUniqueName="[Table1].[Eco_Tourism_Revenue_USD].[All]" dimensionUniqueName="[Table1]" displayFolder="" count="0" memberValueDatatype="5" unbalanced="0"/>
    <cacheHierarchy uniqueName="[Table1].[Number_of_Online_Reviews]" caption="Number_of_Online_Reviews" attribute="1" defaultMemberUniqueName="[Table1].[Number_of_Online_Reviews].[All]" allUniqueName="[Table1].[Number_of_Online_Review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0"/>
        </ext>
      </extLst>
    </cacheHierarchy>
    <cacheHierarchy uniqueName="[Measures].[Sum of Tourism_Revenue_USD]" caption="Sum of Tourism_Revenue_USD" measure="1" displayFolder="" measureGroup="Table1" count="0" hidden="1">
      <extLst>
        <ext xmlns:x15="http://schemas.microsoft.com/office/spreadsheetml/2010/11/main" uri="{B97F6D7D-B522-45F9-BDA1-12C45D357490}">
          <x15:cacheHierarchy aggregatedColumn="8"/>
        </ext>
      </extLst>
    </cacheHierarchy>
    <cacheHierarchy uniqueName="[Measures].[Sum of Eco_Tourism_Revenue_USD]" caption="Sum of Eco_Tourism_Revenue_USD" measure="1" displayFolder="" measureGroup="Table1" count="0" hidden="1">
      <extLst>
        <ext xmlns:x15="http://schemas.microsoft.com/office/spreadsheetml/2010/11/main" uri="{B97F6D7D-B522-45F9-BDA1-12C45D357490}">
          <x15:cacheHierarchy aggregatedColumn="12"/>
        </ext>
      </extLst>
    </cacheHierarchy>
    <cacheHierarchy uniqueName="[Measures].[Sum of Tourist_Spending_USD]" caption="Sum of Tourist_Spending_USD" measure="1" displayFolder="" measureGroup="Table1" count="0" hidden="1">
      <extLst>
        <ext xmlns:x15="http://schemas.microsoft.com/office/spreadsheetml/2010/11/main" uri="{B97F6D7D-B522-45F9-BDA1-12C45D357490}">
          <x15:cacheHierarchy aggregatedColumn="5"/>
        </ext>
      </extLst>
    </cacheHierarchy>
    <cacheHierarchy uniqueName="[Measures].[Sum of Number_of_Tourists]" caption="Sum of Number_of_Tourists" measure="1" displayFolder="" measureGroup="Table1" count="0" hidden="1">
      <extLst>
        <ext xmlns:x15="http://schemas.microsoft.com/office/spreadsheetml/2010/11/main" uri="{B97F6D7D-B522-45F9-BDA1-12C45D357490}">
          <x15:cacheHierarchy aggregatedColumn="3"/>
        </ext>
      </extLst>
    </cacheHierarchy>
    <cacheHierarchy uniqueName="[Measures].[Sum of Number_of_Hotels]" caption="Sum of Number_of_Hotels"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5525567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Venice"/>
    <n v="2022"/>
    <n v="171958"/>
    <x v="0"/>
    <n v="1325.46"/>
    <n v="70"/>
    <n v="120.21"/>
    <n v="227923.45"/>
    <n v="21850"/>
    <n v="3944"/>
    <n v="225203"/>
    <n v="48484.36"/>
    <n v="2533"/>
  </r>
  <r>
    <x v="1"/>
    <s v="Mumbai"/>
    <n v="2020"/>
    <n v="55311"/>
    <x v="1"/>
    <n v="3278.67"/>
    <n v="302"/>
    <n v="244.38"/>
    <n v="181346.52"/>
    <n v="46434"/>
    <n v="2547"/>
    <n v="704811"/>
    <n v="19620.39"/>
    <n v="1367"/>
  </r>
  <r>
    <x v="2"/>
    <s v="Tokyo"/>
    <n v="2022"/>
    <n v="81551"/>
    <x v="2"/>
    <n v="4369.7299999999996"/>
    <n v="378"/>
    <n v="79.27"/>
    <n v="356355.85"/>
    <n v="15627"/>
    <n v="2561"/>
    <n v="255041"/>
    <n v="19240.21"/>
    <n v="875"/>
  </r>
  <r>
    <x v="3"/>
    <s v="Manchester"/>
    <n v="2021"/>
    <n v="160510"/>
    <x v="3"/>
    <n v="2259.77"/>
    <n v="437"/>
    <n v="190.27"/>
    <n v="362715.68"/>
    <n v="16653"/>
    <n v="4343"/>
    <n v="221829"/>
    <n v="94513.26"/>
    <n v="7729"/>
  </r>
  <r>
    <x v="4"/>
    <s v="Luxor"/>
    <n v="2022"/>
    <n v="141387"/>
    <x v="0"/>
    <n v="1963.99"/>
    <n v="387"/>
    <n v="292.86"/>
    <n v="277682.65000000002"/>
    <n v="26271"/>
    <n v="879"/>
    <n v="566588"/>
    <n v="69573.179999999993"/>
    <n v="2127"/>
  </r>
  <r>
    <x v="0"/>
    <s v="Rome"/>
    <n v="2023"/>
    <n v="183767"/>
    <x v="1"/>
    <n v="4169.58"/>
    <n v="212"/>
    <n v="405.58"/>
    <n v="766231.21"/>
    <n v="17666"/>
    <n v="2778"/>
    <n v="900937"/>
    <n v="203645.76"/>
    <n v="2554"/>
  </r>
  <r>
    <x v="2"/>
    <s v="Osaka"/>
    <n v="2020"/>
    <n v="127373"/>
    <x v="1"/>
    <n v="3783.23"/>
    <n v="84"/>
    <n v="262.5"/>
    <n v="481881.35"/>
    <n v="13110"/>
    <n v="4340"/>
    <n v="264020"/>
    <n v="116972.74"/>
    <n v="7821"/>
  </r>
  <r>
    <x v="5"/>
    <s v="Sao Paulo"/>
    <n v="2020"/>
    <n v="73419"/>
    <x v="1"/>
    <n v="641.42999999999995"/>
    <n v="101"/>
    <n v="303.47000000000003"/>
    <n v="47093.15"/>
    <n v="27403"/>
    <n v="2178"/>
    <n v="823290"/>
    <n v="13455.14"/>
    <n v="9889"/>
  </r>
  <r>
    <x v="6"/>
    <s v="Dubai"/>
    <n v="2020"/>
    <n v="159556"/>
    <x v="3"/>
    <n v="4116.5200000000004"/>
    <n v="335"/>
    <n v="447.48"/>
    <n v="656815.47"/>
    <n v="23047"/>
    <n v="3802"/>
    <n v="437261"/>
    <n v="70268.61"/>
    <n v="7626"/>
  </r>
  <r>
    <x v="7"/>
    <s v="Paris"/>
    <n v="2024"/>
    <n v="71959"/>
    <x v="2"/>
    <n v="2681.73"/>
    <n v="283"/>
    <n v="201.93"/>
    <n v="192974.61"/>
    <n v="39766"/>
    <n v="4243"/>
    <n v="643128"/>
    <n v="12779.37"/>
    <n v="7654"/>
  </r>
  <r>
    <x v="1"/>
    <s v="Delhi"/>
    <n v="2021"/>
    <n v="117172"/>
    <x v="4"/>
    <n v="665.99"/>
    <n v="179"/>
    <n v="234.97"/>
    <n v="78035.38"/>
    <n v="5854"/>
    <n v="3974"/>
    <n v="227789"/>
    <n v="13450.43"/>
    <n v="302"/>
  </r>
  <r>
    <x v="8"/>
    <s v="Istanbul"/>
    <n v="2022"/>
    <n v="159751"/>
    <x v="3"/>
    <n v="3776.97"/>
    <n v="421"/>
    <n v="492.54"/>
    <n v="603374.73"/>
    <n v="28509"/>
    <n v="1108"/>
    <n v="405528"/>
    <n v="58303.88"/>
    <n v="6646"/>
  </r>
  <r>
    <x v="9"/>
    <s v="Athens"/>
    <n v="2022"/>
    <n v="174249"/>
    <x v="3"/>
    <n v="1519.23"/>
    <n v="357"/>
    <n v="473.24"/>
    <n v="264724.31"/>
    <n v="23343"/>
    <n v="2885"/>
    <n v="323255"/>
    <n v="35808.35"/>
    <n v="362"/>
  </r>
  <r>
    <x v="8"/>
    <s v="Antalya"/>
    <n v="2023"/>
    <n v="96843"/>
    <x v="0"/>
    <n v="4919.76"/>
    <n v="418"/>
    <n v="158.83000000000001"/>
    <n v="476444.32"/>
    <n v="43191"/>
    <n v="3608"/>
    <n v="341999"/>
    <n v="64204.42"/>
    <n v="6395"/>
  </r>
  <r>
    <x v="10"/>
    <s v="Frankfurt"/>
    <n v="2021"/>
    <n v="170885"/>
    <x v="3"/>
    <n v="3389.14"/>
    <n v="469"/>
    <n v="454.35"/>
    <n v="579153.18999999994"/>
    <n v="7557"/>
    <n v="2700"/>
    <n v="817836"/>
    <n v="73170.77"/>
    <n v="8452"/>
  </r>
  <r>
    <x v="11"/>
    <s v="San Francisco"/>
    <n v="2023"/>
    <n v="88467"/>
    <x v="5"/>
    <n v="1964.3"/>
    <n v="433"/>
    <n v="384.88"/>
    <n v="173775.73"/>
    <n v="38986"/>
    <n v="3604"/>
    <n v="306687"/>
    <n v="24663.81"/>
    <n v="3536"/>
  </r>
  <r>
    <x v="10"/>
    <s v="Berlin"/>
    <n v="2021"/>
    <n v="126213"/>
    <x v="6"/>
    <n v="2454.77"/>
    <n v="146"/>
    <n v="309.61"/>
    <n v="309823.89"/>
    <n v="46919"/>
    <n v="3567"/>
    <n v="221836"/>
    <n v="59796.34"/>
    <n v="2305"/>
  </r>
  <r>
    <x v="12"/>
    <s v="Seville"/>
    <n v="2021"/>
    <n v="93484"/>
    <x v="1"/>
    <n v="4475.72"/>
    <n v="86"/>
    <n v="467.74"/>
    <n v="418408.21"/>
    <n v="36216"/>
    <n v="1106"/>
    <n v="509451"/>
    <n v="51720.37"/>
    <n v="8419"/>
  </r>
  <r>
    <x v="11"/>
    <s v="Miami"/>
    <n v="2020"/>
    <n v="76641"/>
    <x v="0"/>
    <n v="4712.7"/>
    <n v="409"/>
    <n v="81.69"/>
    <n v="361186.04"/>
    <n v="12455"/>
    <n v="2186"/>
    <n v="872209"/>
    <n v="44723.01"/>
    <n v="7443"/>
  </r>
  <r>
    <x v="4"/>
    <s v="Luxor"/>
    <n v="2023"/>
    <n v="155510"/>
    <x v="1"/>
    <n v="4142.13"/>
    <n v="458"/>
    <n v="325.18"/>
    <n v="644142.64"/>
    <n v="28355"/>
    <n v="4631"/>
    <n v="906748"/>
    <n v="43631.15"/>
    <n v="9458"/>
  </r>
  <r>
    <x v="13"/>
    <s v="Guangzhou"/>
    <n v="2024"/>
    <n v="194475"/>
    <x v="1"/>
    <n v="2473.13"/>
    <n v="100"/>
    <n v="259.52"/>
    <n v="480961.96"/>
    <n v="27677"/>
    <n v="2215"/>
    <n v="120313"/>
    <n v="67357.600000000006"/>
    <n v="3151"/>
  </r>
  <r>
    <x v="2"/>
    <s v="Kyoto"/>
    <n v="2023"/>
    <n v="164692"/>
    <x v="4"/>
    <n v="4289.1000000000004"/>
    <n v="399"/>
    <n v="293.29000000000002"/>
    <n v="706380.46"/>
    <n v="44734"/>
    <n v="4864"/>
    <n v="283841"/>
    <n v="92351.56"/>
    <n v="9661"/>
  </r>
  <r>
    <x v="9"/>
    <s v="Athens"/>
    <n v="2023"/>
    <n v="140852"/>
    <x v="2"/>
    <n v="863.93"/>
    <n v="445"/>
    <n v="234.03"/>
    <n v="121686.27"/>
    <n v="6081"/>
    <n v="3349"/>
    <n v="227247"/>
    <n v="27823.439999999999"/>
    <n v="4170"/>
  </r>
  <r>
    <x v="5"/>
    <s v="Sao Paulo"/>
    <n v="2022"/>
    <n v="79375"/>
    <x v="5"/>
    <n v="3252.74"/>
    <n v="125"/>
    <n v="304.72000000000003"/>
    <n v="258186.23999999999"/>
    <n v="8506"/>
    <n v="3244"/>
    <n v="405612"/>
    <n v="15878.62"/>
    <n v="6717"/>
  </r>
  <r>
    <x v="11"/>
    <s v="San Francisco"/>
    <n v="2020"/>
    <n v="171172"/>
    <x v="4"/>
    <n v="1279.4100000000001"/>
    <n v="72"/>
    <n v="71.63"/>
    <n v="218999.17"/>
    <n v="19069"/>
    <n v="3349"/>
    <n v="700419"/>
    <n v="45215.66"/>
    <n v="4711"/>
  </r>
  <r>
    <x v="14"/>
    <s v="Bangkok"/>
    <n v="2023"/>
    <n v="77663"/>
    <x v="0"/>
    <n v="3390.89"/>
    <n v="433"/>
    <n v="336.38"/>
    <n v="263346.69"/>
    <n v="5851"/>
    <n v="4246"/>
    <n v="403824"/>
    <n v="49088.93"/>
    <n v="4013"/>
  </r>
  <r>
    <x v="10"/>
    <s v="Munich"/>
    <n v="2022"/>
    <n v="132986"/>
    <x v="3"/>
    <n v="812.13"/>
    <n v="435"/>
    <n v="67.53"/>
    <n v="108001.92"/>
    <n v="39850"/>
    <n v="4685"/>
    <n v="599639"/>
    <n v="23803.99"/>
    <n v="925"/>
  </r>
  <r>
    <x v="15"/>
    <s v="Cancun"/>
    <n v="2023"/>
    <n v="139588"/>
    <x v="4"/>
    <n v="4714.92"/>
    <n v="266"/>
    <n v="411.57"/>
    <n v="658146.25"/>
    <n v="32384"/>
    <n v="3004"/>
    <n v="741095"/>
    <n v="195881.62"/>
    <n v="9979"/>
  </r>
  <r>
    <x v="5"/>
    <s v="Sao Paulo"/>
    <n v="2021"/>
    <n v="188429"/>
    <x v="3"/>
    <n v="1573.69"/>
    <n v="328"/>
    <n v="389.54"/>
    <n v="296528.83"/>
    <n v="26352"/>
    <n v="4452"/>
    <n v="588685"/>
    <n v="43709.69"/>
    <n v="7500"/>
  </r>
  <r>
    <x v="16"/>
    <s v="Toronto"/>
    <n v="2023"/>
    <n v="109163"/>
    <x v="3"/>
    <n v="4777.7299999999996"/>
    <n v="416"/>
    <n v="87.48"/>
    <n v="521551.34"/>
    <n v="42259"/>
    <n v="3438"/>
    <n v="399652"/>
    <n v="129289.84"/>
    <n v="6641"/>
  </r>
  <r>
    <x v="17"/>
    <s v="Melbourne"/>
    <n v="2020"/>
    <n v="176174"/>
    <x v="6"/>
    <n v="3816.66"/>
    <n v="380"/>
    <n v="102.68"/>
    <n v="672396.26"/>
    <n v="11731"/>
    <n v="1453"/>
    <n v="281915"/>
    <n v="174567.65"/>
    <n v="7038"/>
  </r>
  <r>
    <x v="0"/>
    <s v="Rome"/>
    <n v="2023"/>
    <n v="69065"/>
    <x v="6"/>
    <n v="2809.97"/>
    <n v="185"/>
    <n v="218.42"/>
    <n v="194070.58"/>
    <n v="31432"/>
    <n v="2180"/>
    <n v="742440"/>
    <n v="26695.29"/>
    <n v="4286"/>
  </r>
  <r>
    <x v="15"/>
    <s v="Cancun"/>
    <n v="2023"/>
    <n v="75289"/>
    <x v="3"/>
    <n v="1000.39"/>
    <n v="190"/>
    <n v="232.34"/>
    <n v="75318.36"/>
    <n v="8709"/>
    <n v="955"/>
    <n v="456332"/>
    <n v="17779.12"/>
    <n v="1631"/>
  </r>
  <r>
    <x v="7"/>
    <s v="Marseille"/>
    <n v="2024"/>
    <n v="78016"/>
    <x v="0"/>
    <n v="2877.67"/>
    <n v="107"/>
    <n v="55.47"/>
    <n v="224504.3"/>
    <n v="27700"/>
    <n v="4675"/>
    <n v="536261"/>
    <n v="62811.57"/>
    <n v="6290"/>
  </r>
  <r>
    <x v="1"/>
    <s v="Delhi"/>
    <n v="2020"/>
    <n v="67640"/>
    <x v="3"/>
    <n v="1825.22"/>
    <n v="103"/>
    <n v="312.94"/>
    <n v="123457.88"/>
    <n v="24087"/>
    <n v="1853"/>
    <n v="978479"/>
    <n v="18349.599999999999"/>
    <n v="6919"/>
  </r>
  <r>
    <x v="11"/>
    <s v="Los Angeles"/>
    <n v="2024"/>
    <n v="111529"/>
    <x v="0"/>
    <n v="1532.28"/>
    <n v="406"/>
    <n v="488.48"/>
    <n v="170893.66"/>
    <n v="25159"/>
    <n v="3008"/>
    <n v="740907"/>
    <n v="14234.81"/>
    <n v="4904"/>
  </r>
  <r>
    <x v="7"/>
    <s v="Nice"/>
    <n v="2022"/>
    <n v="100990"/>
    <x v="6"/>
    <n v="872.37"/>
    <n v="300"/>
    <n v="70.349999999999994"/>
    <n v="88100.65"/>
    <n v="6015"/>
    <n v="3636"/>
    <n v="674785"/>
    <n v="7717.99"/>
    <n v="7038"/>
  </r>
  <r>
    <x v="16"/>
    <s v="Montreal"/>
    <n v="2024"/>
    <n v="96540"/>
    <x v="1"/>
    <n v="665.7"/>
    <n v="454"/>
    <n v="75.37"/>
    <n v="64266.68"/>
    <n v="34189"/>
    <n v="3256"/>
    <n v="934574"/>
    <n v="17884.87"/>
    <n v="4278"/>
  </r>
  <r>
    <x v="10"/>
    <s v="Frankfurt"/>
    <n v="2023"/>
    <n v="194528"/>
    <x v="1"/>
    <n v="1422.7"/>
    <n v="222"/>
    <n v="322.77999999999997"/>
    <n v="276754.99"/>
    <n v="26949"/>
    <n v="2323"/>
    <n v="142193"/>
    <n v="21694.66"/>
    <n v="4463"/>
  </r>
  <r>
    <x v="18"/>
    <s v="Johannesburg"/>
    <n v="2023"/>
    <n v="165765"/>
    <x v="5"/>
    <n v="897.84"/>
    <n v="450"/>
    <n v="110.31"/>
    <n v="148830.45000000001"/>
    <n v="24758"/>
    <n v="1752"/>
    <n v="876196"/>
    <n v="37395.31"/>
    <n v="9621"/>
  </r>
  <r>
    <x v="14"/>
    <s v="Chiang Mai"/>
    <n v="2024"/>
    <n v="105393"/>
    <x v="6"/>
    <n v="2996.67"/>
    <n v="357"/>
    <n v="296.35000000000002"/>
    <n v="315828.03999999998"/>
    <n v="36703"/>
    <n v="3677"/>
    <n v="303490"/>
    <n v="78678.429999999993"/>
    <n v="6071"/>
  </r>
  <r>
    <x v="9"/>
    <s v="Santorini"/>
    <n v="2024"/>
    <n v="175911"/>
    <x v="2"/>
    <n v="3293.63"/>
    <n v="175"/>
    <n v="335.03"/>
    <n v="579385.75"/>
    <n v="17015"/>
    <n v="1260"/>
    <n v="729574"/>
    <n v="50971.85"/>
    <n v="8572"/>
  </r>
  <r>
    <x v="10"/>
    <s v="Munich"/>
    <n v="2020"/>
    <n v="151570"/>
    <x v="3"/>
    <n v="4879"/>
    <n v="100"/>
    <n v="68.39"/>
    <n v="739510.03"/>
    <n v="26508"/>
    <n v="4400"/>
    <n v="335205"/>
    <n v="59278.36"/>
    <n v="7340"/>
  </r>
  <r>
    <x v="19"/>
    <s v="Singapore City"/>
    <n v="2022"/>
    <n v="73321"/>
    <x v="0"/>
    <n v="3325.55"/>
    <n v="399"/>
    <n v="120.64"/>
    <n v="243832.65"/>
    <n v="9432"/>
    <n v="2555"/>
    <n v="964032"/>
    <n v="72312.05"/>
    <n v="8250"/>
  </r>
  <r>
    <x v="10"/>
    <s v="Frankfurt"/>
    <n v="2022"/>
    <n v="117661"/>
    <x v="4"/>
    <n v="3863.62"/>
    <n v="361"/>
    <n v="109.9"/>
    <n v="454597.39"/>
    <n v="10122"/>
    <n v="3297"/>
    <n v="498874"/>
    <n v="34909.9"/>
    <n v="8252"/>
  </r>
  <r>
    <x v="8"/>
    <s v="Istanbul"/>
    <n v="2021"/>
    <n v="161076"/>
    <x v="6"/>
    <n v="3037.84"/>
    <n v="135"/>
    <n v="197.37"/>
    <n v="489323.12"/>
    <n v="9632"/>
    <n v="3783"/>
    <n v="449384"/>
    <n v="121006.09"/>
    <n v="8043"/>
  </r>
  <r>
    <x v="0"/>
    <s v="Venice"/>
    <n v="2022"/>
    <n v="131264"/>
    <x v="3"/>
    <n v="2204.48"/>
    <n v="229"/>
    <n v="340.66"/>
    <n v="289368.86"/>
    <n v="39529"/>
    <n v="2862"/>
    <n v="853692"/>
    <n v="82013.78"/>
    <n v="6867"/>
  </r>
  <r>
    <x v="19"/>
    <s v="Sentosa Island"/>
    <n v="2023"/>
    <n v="126125"/>
    <x v="3"/>
    <n v="4535.4399999999996"/>
    <n v="292"/>
    <n v="58.21"/>
    <n v="572032.37"/>
    <n v="9324"/>
    <n v="505"/>
    <n v="696465"/>
    <n v="159796.62"/>
    <n v="5660"/>
  </r>
  <r>
    <x v="14"/>
    <s v="Phuket"/>
    <n v="2023"/>
    <n v="103441"/>
    <x v="3"/>
    <n v="3072.26"/>
    <n v="349"/>
    <n v="142.28"/>
    <n v="317797.65000000002"/>
    <n v="35105"/>
    <n v="2310"/>
    <n v="239139"/>
    <n v="35149.19"/>
    <n v="1928"/>
  </r>
  <r>
    <x v="12"/>
    <s v="Madrid"/>
    <n v="2024"/>
    <n v="51917"/>
    <x v="3"/>
    <n v="2665.13"/>
    <n v="210"/>
    <n v="216.15"/>
    <n v="138365.54999999999"/>
    <n v="5009"/>
    <n v="2173"/>
    <n v="969723"/>
    <n v="30598.560000000001"/>
    <n v="2924"/>
  </r>
  <r>
    <x v="4"/>
    <s v="Cairo"/>
    <n v="2021"/>
    <n v="143070"/>
    <x v="1"/>
    <n v="2353.2800000000002"/>
    <n v="354"/>
    <n v="432.83"/>
    <n v="336683.77"/>
    <n v="17219"/>
    <n v="4929"/>
    <n v="379588"/>
    <n v="95815.19"/>
    <n v="6051"/>
  </r>
  <r>
    <x v="16"/>
    <s v="Toronto"/>
    <n v="2024"/>
    <n v="137388"/>
    <x v="6"/>
    <n v="4078.7"/>
    <n v="335"/>
    <n v="421.31"/>
    <n v="560364.43999999994"/>
    <n v="20524"/>
    <n v="577"/>
    <n v="549097"/>
    <n v="72314.55"/>
    <n v="7043"/>
  </r>
  <r>
    <x v="1"/>
    <s v="Mumbai"/>
    <n v="2021"/>
    <n v="193026"/>
    <x v="4"/>
    <n v="2929.01"/>
    <n v="202"/>
    <n v="209.91"/>
    <n v="565375.07999999996"/>
    <n v="16246"/>
    <n v="2497"/>
    <n v="964228"/>
    <n v="116500.91"/>
    <n v="8235"/>
  </r>
  <r>
    <x v="8"/>
    <s v="Istanbul"/>
    <n v="2020"/>
    <n v="130910"/>
    <x v="4"/>
    <n v="2729.41"/>
    <n v="460"/>
    <n v="404.87"/>
    <n v="357307.06"/>
    <n v="15789"/>
    <n v="3568"/>
    <n v="900916"/>
    <n v="30650.51"/>
    <n v="1965"/>
  </r>
  <r>
    <x v="15"/>
    <s v="Cancun"/>
    <n v="2020"/>
    <n v="96197"/>
    <x v="4"/>
    <n v="997.84"/>
    <n v="265"/>
    <n v="321.77999999999997"/>
    <n v="95989.21"/>
    <n v="40996"/>
    <n v="3728"/>
    <n v="64382"/>
    <n v="23322.55"/>
    <n v="893"/>
  </r>
  <r>
    <x v="4"/>
    <s v="Luxor"/>
    <n v="2021"/>
    <n v="174714"/>
    <x v="3"/>
    <n v="4220.59"/>
    <n v="409"/>
    <n v="312.52999999999997"/>
    <n v="737396.16"/>
    <n v="17999"/>
    <n v="845"/>
    <n v="126077"/>
    <n v="204968.92"/>
    <n v="9931"/>
  </r>
  <r>
    <x v="0"/>
    <s v="Venice"/>
    <n v="2022"/>
    <n v="77306"/>
    <x v="6"/>
    <n v="3043.1"/>
    <n v="425"/>
    <n v="60.36"/>
    <n v="235249.89"/>
    <n v="5126"/>
    <n v="1103"/>
    <n v="770670"/>
    <n v="36706.67"/>
    <n v="1892"/>
  </r>
  <r>
    <x v="0"/>
    <s v="Rome"/>
    <n v="2020"/>
    <n v="126589"/>
    <x v="4"/>
    <n v="1244.8399999999999"/>
    <n v="362"/>
    <n v="199.47"/>
    <n v="157583.04999999999"/>
    <n v="42430"/>
    <n v="3208"/>
    <n v="717054"/>
    <n v="21084.5"/>
    <n v="8866"/>
  </r>
  <r>
    <x v="11"/>
    <s v="New York"/>
    <n v="2020"/>
    <n v="113731"/>
    <x v="1"/>
    <n v="4639.3500000000004"/>
    <n v="259"/>
    <n v="266.38"/>
    <n v="527637.91"/>
    <n v="41368"/>
    <n v="1454"/>
    <n v="251579"/>
    <n v="59125.32"/>
    <n v="6420"/>
  </r>
  <r>
    <x v="11"/>
    <s v="Las Vegas"/>
    <n v="2022"/>
    <n v="144270"/>
    <x v="6"/>
    <n v="1490.44"/>
    <n v="98"/>
    <n v="130.12"/>
    <n v="215025.78"/>
    <n v="24816"/>
    <n v="4201"/>
    <n v="205989"/>
    <n v="64339.7"/>
    <n v="2582"/>
  </r>
  <r>
    <x v="12"/>
    <s v="Seville"/>
    <n v="2022"/>
    <n v="74442"/>
    <x v="2"/>
    <n v="2072.2399999999998"/>
    <n v="354"/>
    <n v="66.45"/>
    <n v="154261.69"/>
    <n v="29861"/>
    <n v="2565"/>
    <n v="476752"/>
    <n v="25194.36"/>
    <n v="5897"/>
  </r>
  <r>
    <x v="11"/>
    <s v="Los Angeles"/>
    <n v="2023"/>
    <n v="169614"/>
    <x v="5"/>
    <n v="2004.63"/>
    <n v="180"/>
    <n v="217.99"/>
    <n v="340013.31"/>
    <n v="39249"/>
    <n v="3951"/>
    <n v="963376"/>
    <n v="30274.16"/>
    <n v="6054"/>
  </r>
  <r>
    <x v="1"/>
    <s v="Mumbai"/>
    <n v="2023"/>
    <n v="80678"/>
    <x v="2"/>
    <n v="588.70000000000005"/>
    <n v="288"/>
    <n v="306.25"/>
    <n v="47495.14"/>
    <n v="44986"/>
    <n v="3554"/>
    <n v="522327"/>
    <n v="5262.13"/>
    <n v="4647"/>
  </r>
  <r>
    <x v="14"/>
    <s v="Bangkok"/>
    <n v="2022"/>
    <n v="104771"/>
    <x v="6"/>
    <n v="1422.43"/>
    <n v="481"/>
    <n v="89.12"/>
    <n v="149029.41"/>
    <n v="9425"/>
    <n v="2698"/>
    <n v="758754"/>
    <n v="40105.46"/>
    <n v="6952"/>
  </r>
  <r>
    <x v="13"/>
    <s v="Shanghai"/>
    <n v="2022"/>
    <n v="137955"/>
    <x v="1"/>
    <n v="4212.9799999999996"/>
    <n v="168"/>
    <n v="170.63"/>
    <n v="581201.66"/>
    <n v="19596"/>
    <n v="1779"/>
    <n v="244269"/>
    <n v="154173.62"/>
    <n v="2779"/>
  </r>
  <r>
    <x v="10"/>
    <s v="Berlin"/>
    <n v="2024"/>
    <n v="117642"/>
    <x v="6"/>
    <n v="4099.3500000000004"/>
    <n v="164"/>
    <n v="280.61"/>
    <n v="482255.73"/>
    <n v="17808"/>
    <n v="736"/>
    <n v="936040"/>
    <n v="40914.1"/>
    <n v="9096"/>
  </r>
  <r>
    <x v="19"/>
    <s v="Sentosa Island"/>
    <n v="2024"/>
    <n v="131994"/>
    <x v="3"/>
    <n v="2883.48"/>
    <n v="90"/>
    <n v="173.32"/>
    <n v="380602.06"/>
    <n v="44952"/>
    <n v="2122"/>
    <n v="623044"/>
    <n v="32054.84"/>
    <n v="6236"/>
  </r>
  <r>
    <x v="1"/>
    <s v="Jaipur"/>
    <n v="2022"/>
    <n v="97924"/>
    <x v="5"/>
    <n v="4614.8500000000004"/>
    <n v="239"/>
    <n v="283.51"/>
    <n v="451904.57"/>
    <n v="25609"/>
    <n v="1886"/>
    <n v="242192"/>
    <n v="90737.03"/>
    <n v="7779"/>
  </r>
  <r>
    <x v="10"/>
    <s v="Berlin"/>
    <n v="2024"/>
    <n v="61046"/>
    <x v="3"/>
    <n v="4771.88"/>
    <n v="201"/>
    <n v="471.57"/>
    <n v="291304.19"/>
    <n v="28863"/>
    <n v="1250"/>
    <n v="294883"/>
    <n v="75850.490000000005"/>
    <n v="253"/>
  </r>
  <r>
    <x v="15"/>
    <s v="Puerto Vallarta"/>
    <n v="2024"/>
    <n v="182596"/>
    <x v="2"/>
    <n v="2081.9299999999998"/>
    <n v="110"/>
    <n v="359.78"/>
    <n v="380152.09"/>
    <n v="18350"/>
    <n v="4069"/>
    <n v="477236"/>
    <n v="110975.84"/>
    <n v="4190"/>
  </r>
  <r>
    <x v="3"/>
    <s v="Edinburgh"/>
    <n v="2020"/>
    <n v="56960"/>
    <x v="3"/>
    <n v="4776.07"/>
    <n v="352"/>
    <n v="89.02"/>
    <n v="272044.95"/>
    <n v="49623"/>
    <n v="4562"/>
    <n v="757220"/>
    <n v="62849.41"/>
    <n v="5487"/>
  </r>
  <r>
    <x v="14"/>
    <s v="Phuket"/>
    <n v="2020"/>
    <n v="127454"/>
    <x v="2"/>
    <n v="732.18"/>
    <n v="337"/>
    <n v="367.51"/>
    <n v="93319.27"/>
    <n v="9806"/>
    <n v="3657"/>
    <n v="930889"/>
    <n v="7477.73"/>
    <n v="9118"/>
  </r>
  <r>
    <x v="18"/>
    <s v="Johannesburg"/>
    <n v="2023"/>
    <n v="187809"/>
    <x v="5"/>
    <n v="746.97"/>
    <n v="492"/>
    <n v="423.01"/>
    <n v="140287.69"/>
    <n v="26776"/>
    <n v="3723"/>
    <n v="171826"/>
    <n v="23886.15"/>
    <n v="7226"/>
  </r>
  <r>
    <x v="6"/>
    <s v="Dubai"/>
    <n v="2021"/>
    <n v="144071"/>
    <x v="1"/>
    <n v="4058.25"/>
    <n v="259"/>
    <n v="284.08"/>
    <n v="584676.14"/>
    <n v="18737"/>
    <n v="4021"/>
    <n v="173618"/>
    <n v="32342.74"/>
    <n v="3910"/>
  </r>
  <r>
    <x v="5"/>
    <s v="Sao Paulo"/>
    <n v="2020"/>
    <n v="146122"/>
    <x v="4"/>
    <n v="2078.1999999999998"/>
    <n v="367"/>
    <n v="265.94"/>
    <n v="303670.74"/>
    <n v="17984"/>
    <n v="2271"/>
    <n v="895038"/>
    <n v="22145.14"/>
    <n v="3860"/>
  </r>
  <r>
    <x v="12"/>
    <s v="Madrid"/>
    <n v="2020"/>
    <n v="52050"/>
    <x v="3"/>
    <n v="1836.51"/>
    <n v="195"/>
    <n v="155.12"/>
    <n v="95590.35"/>
    <n v="45600"/>
    <n v="3132"/>
    <n v="447710"/>
    <n v="21021.45"/>
    <n v="9230"/>
  </r>
  <r>
    <x v="10"/>
    <s v="Munich"/>
    <n v="2023"/>
    <n v="181878"/>
    <x v="3"/>
    <n v="4751.29"/>
    <n v="382"/>
    <n v="495.13"/>
    <n v="864155.12"/>
    <n v="29262"/>
    <n v="1384"/>
    <n v="376898"/>
    <n v="93041.38"/>
    <n v="6502"/>
  </r>
  <r>
    <x v="13"/>
    <s v="Beijing"/>
    <n v="2020"/>
    <n v="195271"/>
    <x v="0"/>
    <n v="760.29"/>
    <n v="226"/>
    <n v="283.22000000000003"/>
    <n v="148462.59"/>
    <n v="23297"/>
    <n v="2414"/>
    <n v="57657"/>
    <n v="25653.83"/>
    <n v="4976"/>
  </r>
  <r>
    <x v="15"/>
    <s v="Cancun"/>
    <n v="2022"/>
    <n v="57287"/>
    <x v="0"/>
    <n v="656.89"/>
    <n v="406"/>
    <n v="91.17"/>
    <n v="37631.26"/>
    <n v="23024"/>
    <n v="3182"/>
    <n v="567083"/>
    <n v="2299.0500000000002"/>
    <n v="9852"/>
  </r>
  <r>
    <x v="14"/>
    <s v="Chiang Mai"/>
    <n v="2021"/>
    <n v="114772"/>
    <x v="1"/>
    <n v="1766.26"/>
    <n v="87"/>
    <n v="166.89"/>
    <n v="202717.19"/>
    <n v="8972"/>
    <n v="1413"/>
    <n v="942964"/>
    <n v="44762.93"/>
    <n v="417"/>
  </r>
  <r>
    <x v="14"/>
    <s v="Phuket"/>
    <n v="2021"/>
    <n v="52396"/>
    <x v="6"/>
    <n v="3070.94"/>
    <n v="89"/>
    <n v="304.58"/>
    <n v="160904.97"/>
    <n v="39080"/>
    <n v="2883"/>
    <n v="69623"/>
    <n v="14374.47"/>
    <n v="4386"/>
  </r>
  <r>
    <x v="10"/>
    <s v="Frankfurt"/>
    <n v="2020"/>
    <n v="119274"/>
    <x v="0"/>
    <n v="1213.72"/>
    <n v="363"/>
    <n v="259.45999999999998"/>
    <n v="144765.24"/>
    <n v="17713"/>
    <n v="4008"/>
    <n v="479725"/>
    <n v="7278.8"/>
    <n v="5443"/>
  </r>
  <r>
    <x v="19"/>
    <s v="Sentosa Island"/>
    <n v="2022"/>
    <n v="125418"/>
    <x v="3"/>
    <n v="3343.16"/>
    <n v="237"/>
    <n v="54.08"/>
    <n v="419292.44"/>
    <n v="6007"/>
    <n v="4026"/>
    <n v="79257"/>
    <n v="109028.77"/>
    <n v="377"/>
  </r>
  <r>
    <x v="15"/>
    <s v="Puerto Vallarta"/>
    <n v="2023"/>
    <n v="194579"/>
    <x v="1"/>
    <n v="3968.84"/>
    <n v="241"/>
    <n v="368.68"/>
    <n v="772252.92"/>
    <n v="13073"/>
    <n v="521"/>
    <n v="333097"/>
    <n v="203182.57"/>
    <n v="9054"/>
  </r>
  <r>
    <x v="14"/>
    <s v="Phuket"/>
    <n v="2023"/>
    <n v="137266"/>
    <x v="5"/>
    <n v="2226.2600000000002"/>
    <n v="82"/>
    <n v="195.62"/>
    <n v="305589.81"/>
    <n v="32570"/>
    <n v="4109"/>
    <n v="61745"/>
    <n v="91457.26"/>
    <n v="9178"/>
  </r>
  <r>
    <x v="13"/>
    <s v="Beijing"/>
    <n v="2020"/>
    <n v="125932"/>
    <x v="4"/>
    <n v="4279.76"/>
    <n v="133"/>
    <n v="344.53"/>
    <n v="538958.74"/>
    <n v="27042"/>
    <n v="3953"/>
    <n v="818747"/>
    <n v="125479.03999999999"/>
    <n v="1782"/>
  </r>
  <r>
    <x v="10"/>
    <s v="Berlin"/>
    <n v="2021"/>
    <n v="178386"/>
    <x v="2"/>
    <n v="1943.34"/>
    <n v="211"/>
    <n v="145.9"/>
    <n v="346664.65"/>
    <n v="31431"/>
    <n v="1291"/>
    <n v="557403"/>
    <n v="58199.14"/>
    <n v="3776"/>
  </r>
  <r>
    <x v="16"/>
    <s v="Montreal"/>
    <n v="2020"/>
    <n v="189783"/>
    <x v="4"/>
    <n v="4301.5200000000004"/>
    <n v="436"/>
    <n v="408.56"/>
    <n v="816355.37"/>
    <n v="43827"/>
    <n v="4399"/>
    <n v="888530"/>
    <n v="135126.67000000001"/>
    <n v="1975"/>
  </r>
  <r>
    <x v="12"/>
    <s v="Barcelona"/>
    <n v="2022"/>
    <n v="84531"/>
    <x v="4"/>
    <n v="1514.93"/>
    <n v="263"/>
    <n v="311.89"/>
    <n v="128058.55"/>
    <n v="40201"/>
    <n v="894"/>
    <n v="997263"/>
    <n v="6774.95"/>
    <n v="8457"/>
  </r>
  <r>
    <x v="0"/>
    <s v="Venice"/>
    <n v="2022"/>
    <n v="56154"/>
    <x v="6"/>
    <n v="4370.55"/>
    <n v="441"/>
    <n v="375.93"/>
    <n v="245423.86"/>
    <n v="8762"/>
    <n v="2948"/>
    <n v="89499"/>
    <n v="21014.14"/>
    <n v="9005"/>
  </r>
  <r>
    <x v="16"/>
    <s v="Toronto"/>
    <n v="2024"/>
    <n v="72431"/>
    <x v="0"/>
    <n v="825.87"/>
    <n v="282"/>
    <n v="207.78"/>
    <n v="59818.59"/>
    <n v="28116"/>
    <n v="1417"/>
    <n v="364470"/>
    <n v="11478.3"/>
    <n v="9178"/>
  </r>
  <r>
    <x v="2"/>
    <s v="Osaka"/>
    <n v="2020"/>
    <n v="112768"/>
    <x v="5"/>
    <n v="1058.99"/>
    <n v="58"/>
    <n v="471.3"/>
    <n v="119420.18"/>
    <n v="31015"/>
    <n v="1215"/>
    <n v="563287"/>
    <n v="24639.51"/>
    <n v="558"/>
  </r>
  <r>
    <x v="13"/>
    <s v="Beijing"/>
    <n v="2021"/>
    <n v="148511"/>
    <x v="6"/>
    <n v="4177.84"/>
    <n v="52"/>
    <n v="68.34"/>
    <n v="620455.19999999995"/>
    <n v="34545"/>
    <n v="2634"/>
    <n v="684379"/>
    <n v="166248.42000000001"/>
    <n v="2027"/>
  </r>
  <r>
    <x v="9"/>
    <s v="Santorini"/>
    <n v="2023"/>
    <n v="78380"/>
    <x v="5"/>
    <n v="3464.18"/>
    <n v="131"/>
    <n v="59.39"/>
    <n v="271522.43"/>
    <n v="21082"/>
    <n v="811"/>
    <n v="839352"/>
    <n v="19110.189999999999"/>
    <n v="452"/>
  </r>
  <r>
    <x v="1"/>
    <s v="Mumbai"/>
    <n v="2022"/>
    <n v="162340"/>
    <x v="6"/>
    <n v="3842.18"/>
    <n v="53"/>
    <n v="380.91"/>
    <n v="623739.5"/>
    <n v="41221"/>
    <n v="2212"/>
    <n v="392962"/>
    <n v="99582.42"/>
    <n v="9733"/>
  </r>
  <r>
    <x v="17"/>
    <s v="Brisbane"/>
    <n v="2023"/>
    <n v="174677"/>
    <x v="6"/>
    <n v="4964.6000000000004"/>
    <n v="174"/>
    <n v="144.80000000000001"/>
    <n v="867201.43"/>
    <n v="38297"/>
    <n v="3458"/>
    <n v="893488"/>
    <n v="198551.18"/>
    <n v="6577"/>
  </r>
  <r>
    <x v="17"/>
    <s v="Melbourne"/>
    <n v="2023"/>
    <n v="83142"/>
    <x v="6"/>
    <n v="811.1"/>
    <n v="365"/>
    <n v="232.26"/>
    <n v="67436.479999999996"/>
    <n v="37781"/>
    <n v="3655"/>
    <n v="811985"/>
    <n v="14366.05"/>
    <n v="4456"/>
  </r>
  <r>
    <x v="8"/>
    <s v="Antalya"/>
    <n v="2022"/>
    <n v="194832"/>
    <x v="6"/>
    <n v="1088.93"/>
    <n v="352"/>
    <n v="155.6"/>
    <n v="212158.41"/>
    <n v="49738"/>
    <n v="3139"/>
    <n v="252332"/>
    <n v="54571.56"/>
    <n v="6756"/>
  </r>
  <r>
    <x v="18"/>
    <s v="Johannesburg"/>
    <n v="2021"/>
    <n v="158856"/>
    <x v="2"/>
    <n v="1254.29"/>
    <n v="470"/>
    <n v="210.53"/>
    <n v="199251.49"/>
    <n v="20563"/>
    <n v="4068"/>
    <n v="321991"/>
    <n v="39120.76"/>
    <n v="4053"/>
  </r>
  <r>
    <x v="15"/>
    <s v="Cancun"/>
    <n v="2022"/>
    <n v="131537"/>
    <x v="3"/>
    <n v="1540.09"/>
    <n v="50"/>
    <n v="104.95"/>
    <n v="202578.82"/>
    <n v="25677"/>
    <n v="1508"/>
    <n v="900610"/>
    <n v="17641.740000000002"/>
    <n v="7573"/>
  </r>
  <r>
    <x v="3"/>
    <s v="London"/>
    <n v="2022"/>
    <n v="111212"/>
    <x v="1"/>
    <n v="2546.33"/>
    <n v="227"/>
    <n v="204.19"/>
    <n v="283182.45"/>
    <n v="18605"/>
    <n v="4903"/>
    <n v="440479"/>
    <n v="66045.149999999994"/>
    <n v="6912"/>
  </r>
  <r>
    <x v="14"/>
    <s v="Bangkok"/>
    <n v="2022"/>
    <n v="155823"/>
    <x v="5"/>
    <n v="4835.0600000000004"/>
    <n v="242"/>
    <n v="427.15"/>
    <n v="753413.55"/>
    <n v="20577"/>
    <n v="3985"/>
    <n v="498625"/>
    <n v="194169.21"/>
    <n v="4540"/>
  </r>
  <r>
    <x v="2"/>
    <s v="Tokyo"/>
    <n v="2022"/>
    <n v="104061"/>
    <x v="4"/>
    <n v="3202.74"/>
    <n v="191"/>
    <n v="227.24"/>
    <n v="333280.33"/>
    <n v="18380"/>
    <n v="3791"/>
    <n v="512785"/>
    <n v="20681.05"/>
    <n v="3928"/>
  </r>
  <r>
    <x v="0"/>
    <s v="Rome"/>
    <n v="2020"/>
    <n v="164044"/>
    <x v="0"/>
    <n v="4665.54"/>
    <n v="131"/>
    <n v="445.05"/>
    <n v="765353.84"/>
    <n v="30426"/>
    <n v="4212"/>
    <n v="444583"/>
    <n v="162460.64000000001"/>
    <n v="2290"/>
  </r>
  <r>
    <x v="4"/>
    <s v="Luxor"/>
    <n v="2022"/>
    <n v="190180"/>
    <x v="1"/>
    <n v="2968.25"/>
    <n v="273"/>
    <n v="217.96"/>
    <n v="564501.79"/>
    <n v="27443"/>
    <n v="3838"/>
    <n v="810674"/>
    <n v="118908.91"/>
    <n v="6571"/>
  </r>
  <r>
    <x v="16"/>
    <s v="Montreal"/>
    <n v="2020"/>
    <n v="81348"/>
    <x v="3"/>
    <n v="990.13"/>
    <n v="353"/>
    <n v="311.08"/>
    <n v="80545.100000000006"/>
    <n v="16563"/>
    <n v="542"/>
    <n v="470182"/>
    <n v="18487.580000000002"/>
    <n v="9306"/>
  </r>
  <r>
    <x v="1"/>
    <s v="Jaipur"/>
    <n v="2020"/>
    <n v="109182"/>
    <x v="2"/>
    <n v="4795.97"/>
    <n v="100"/>
    <n v="77.12"/>
    <n v="523633.6"/>
    <n v="18076"/>
    <n v="1463"/>
    <n v="843583"/>
    <n v="113902.88"/>
    <n v="205"/>
  </r>
  <r>
    <x v="14"/>
    <s v="Phuket"/>
    <n v="2020"/>
    <n v="158177"/>
    <x v="6"/>
    <n v="4895.26"/>
    <n v="399"/>
    <n v="131.52000000000001"/>
    <n v="774317.54"/>
    <n v="49139"/>
    <n v="4154"/>
    <n v="532238"/>
    <n v="148535.82999999999"/>
    <n v="1898"/>
  </r>
  <r>
    <x v="11"/>
    <s v="New York"/>
    <n v="2020"/>
    <n v="109189"/>
    <x v="3"/>
    <n v="695.36"/>
    <n v="428"/>
    <n v="51.16"/>
    <n v="75925.66"/>
    <n v="28669"/>
    <n v="1743"/>
    <n v="275160"/>
    <n v="16069.78"/>
    <n v="6395"/>
  </r>
  <r>
    <x v="4"/>
    <s v="Cairo"/>
    <n v="2023"/>
    <n v="169503"/>
    <x v="1"/>
    <n v="1650.4"/>
    <n v="201"/>
    <n v="420.18"/>
    <n v="279747.75"/>
    <n v="12227"/>
    <n v="645"/>
    <n v="284386"/>
    <n v="45582.64"/>
    <n v="1349"/>
  </r>
  <r>
    <x v="3"/>
    <s v="London"/>
    <n v="2022"/>
    <n v="67014"/>
    <x v="4"/>
    <n v="1303.01"/>
    <n v="468"/>
    <n v="323.19"/>
    <n v="87319.91"/>
    <n v="28711"/>
    <n v="1468"/>
    <n v="208285"/>
    <n v="5642.06"/>
    <n v="9869"/>
  </r>
  <r>
    <x v="8"/>
    <s v="Istanbul"/>
    <n v="2021"/>
    <n v="81910"/>
    <x v="2"/>
    <n v="571.19000000000005"/>
    <n v="351"/>
    <n v="96.85"/>
    <n v="46786.17"/>
    <n v="22625"/>
    <n v="1690"/>
    <n v="744892"/>
    <n v="3341.21"/>
    <n v="5289"/>
  </r>
  <r>
    <x v="9"/>
    <s v="Santorini"/>
    <n v="2022"/>
    <n v="118008"/>
    <x v="4"/>
    <n v="2490.84"/>
    <n v="493"/>
    <n v="410.16"/>
    <n v="293939.05"/>
    <n v="41378"/>
    <n v="3323"/>
    <n v="892981"/>
    <n v="64676.29"/>
    <n v="5349"/>
  </r>
  <r>
    <x v="15"/>
    <s v="Mexico City"/>
    <n v="2021"/>
    <n v="175541"/>
    <x v="0"/>
    <n v="3787.93"/>
    <n v="313"/>
    <n v="311.20999999999998"/>
    <n v="664937.02"/>
    <n v="35137"/>
    <n v="2368"/>
    <n v="885036"/>
    <n v="66648.91"/>
    <n v="3183"/>
  </r>
  <r>
    <x v="2"/>
    <s v="Osaka"/>
    <n v="2023"/>
    <n v="96479"/>
    <x v="4"/>
    <n v="4079.52"/>
    <n v="286"/>
    <n v="103.92"/>
    <n v="393588.01"/>
    <n v="34301"/>
    <n v="4443"/>
    <n v="243783"/>
    <n v="102532.95"/>
    <n v="4995"/>
  </r>
  <r>
    <x v="0"/>
    <s v="Rome"/>
    <n v="2024"/>
    <n v="169968"/>
    <x v="5"/>
    <n v="2780.77"/>
    <n v="191"/>
    <n v="102.94"/>
    <n v="472641.92"/>
    <n v="10782"/>
    <n v="2101"/>
    <n v="265400"/>
    <n v="134343.48000000001"/>
    <n v="7674"/>
  </r>
  <r>
    <x v="17"/>
    <s v="Melbourne"/>
    <n v="2021"/>
    <n v="68073"/>
    <x v="1"/>
    <n v="2820.56"/>
    <n v="476"/>
    <n v="308.56"/>
    <n v="192003.98"/>
    <n v="10435"/>
    <n v="4607"/>
    <n v="802878"/>
    <n v="35507.9"/>
    <n v="7729"/>
  </r>
  <r>
    <x v="16"/>
    <s v="Montreal"/>
    <n v="2022"/>
    <n v="123861"/>
    <x v="2"/>
    <n v="1453.92"/>
    <n v="448"/>
    <n v="231.34"/>
    <n v="180083.99"/>
    <n v="11721"/>
    <n v="3478"/>
    <n v="704801"/>
    <n v="34803.1"/>
    <n v="4359"/>
  </r>
  <r>
    <x v="13"/>
    <s v="Guangzhou"/>
    <n v="2023"/>
    <n v="55901"/>
    <x v="2"/>
    <n v="4542.18"/>
    <n v="485"/>
    <n v="276.14999999999998"/>
    <n v="253912.4"/>
    <n v="28429"/>
    <n v="3029"/>
    <n v="295127"/>
    <n v="44822.37"/>
    <n v="8834"/>
  </r>
  <r>
    <x v="13"/>
    <s v="Guangzhou"/>
    <n v="2024"/>
    <n v="78179"/>
    <x v="6"/>
    <n v="975.49"/>
    <n v="398"/>
    <n v="57.96"/>
    <n v="76262.83"/>
    <n v="42947"/>
    <n v="2453"/>
    <n v="409177"/>
    <n v="13052.41"/>
    <n v="5178"/>
  </r>
  <r>
    <x v="14"/>
    <s v="Chiang Mai"/>
    <n v="2022"/>
    <n v="94936"/>
    <x v="1"/>
    <n v="1046.23"/>
    <n v="420"/>
    <n v="129.99"/>
    <n v="99324.89"/>
    <n v="28291"/>
    <n v="2138"/>
    <n v="629111"/>
    <n v="20242.900000000001"/>
    <n v="3402"/>
  </r>
  <r>
    <x v="3"/>
    <s v="Edinburgh"/>
    <n v="2020"/>
    <n v="107009"/>
    <x v="6"/>
    <n v="4489.72"/>
    <n v="56"/>
    <n v="286.48"/>
    <n v="480440.45"/>
    <n v="32605"/>
    <n v="2264"/>
    <n v="547660"/>
    <n v="25346.99"/>
    <n v="7858"/>
  </r>
  <r>
    <x v="11"/>
    <s v="Los Angeles"/>
    <n v="2022"/>
    <n v="74022"/>
    <x v="5"/>
    <n v="2908.9"/>
    <n v="262"/>
    <n v="425.44"/>
    <n v="215322.6"/>
    <n v="21052"/>
    <n v="4768"/>
    <n v="706031"/>
    <n v="16673.3"/>
    <n v="8061"/>
  </r>
  <r>
    <x v="3"/>
    <s v="Edinburgh"/>
    <n v="2022"/>
    <n v="60749"/>
    <x v="6"/>
    <n v="1961.04"/>
    <n v="281"/>
    <n v="414.81"/>
    <n v="119131.22"/>
    <n v="33380"/>
    <n v="3993"/>
    <n v="306553"/>
    <n v="32525.35"/>
    <n v="6372"/>
  </r>
  <r>
    <x v="1"/>
    <s v="Delhi"/>
    <n v="2023"/>
    <n v="53631"/>
    <x v="5"/>
    <n v="4283.92"/>
    <n v="493"/>
    <n v="401.53"/>
    <n v="229750.91"/>
    <n v="46674"/>
    <n v="1275"/>
    <n v="471818"/>
    <n v="24523.88"/>
    <n v="7183"/>
  </r>
  <r>
    <x v="7"/>
    <s v="Paris"/>
    <n v="2022"/>
    <n v="113936"/>
    <x v="3"/>
    <n v="715.24"/>
    <n v="136"/>
    <n v="372.35"/>
    <n v="81491.58"/>
    <n v="12788"/>
    <n v="3211"/>
    <n v="782176"/>
    <n v="19099.759999999998"/>
    <n v="5430"/>
  </r>
  <r>
    <x v="7"/>
    <s v="Marseille"/>
    <n v="2023"/>
    <n v="175426"/>
    <x v="4"/>
    <n v="1283.49"/>
    <n v="399"/>
    <n v="423.74"/>
    <n v="225157.52"/>
    <n v="15759"/>
    <n v="2073"/>
    <n v="471486"/>
    <n v="65738.12"/>
    <n v="3109"/>
  </r>
  <r>
    <x v="1"/>
    <s v="Delhi"/>
    <n v="2021"/>
    <n v="147661"/>
    <x v="4"/>
    <n v="811.64"/>
    <n v="168"/>
    <n v="68.88"/>
    <n v="119847.57"/>
    <n v="39964"/>
    <n v="1269"/>
    <n v="371909"/>
    <n v="33566.22"/>
    <n v="621"/>
  </r>
  <r>
    <x v="0"/>
    <s v="Florence"/>
    <n v="2022"/>
    <n v="95838"/>
    <x v="6"/>
    <n v="3193.39"/>
    <n v="364"/>
    <n v="297.54000000000002"/>
    <n v="306048.11"/>
    <n v="44896"/>
    <n v="4583"/>
    <n v="969965"/>
    <n v="67023.179999999993"/>
    <n v="9859"/>
  </r>
  <r>
    <x v="12"/>
    <s v="Barcelona"/>
    <n v="2021"/>
    <n v="170029"/>
    <x v="5"/>
    <n v="4309.3100000000004"/>
    <n v="67"/>
    <n v="336.23"/>
    <n v="732707.67"/>
    <n v="44933"/>
    <n v="801"/>
    <n v="991415"/>
    <n v="69716.149999999994"/>
    <n v="9660"/>
  </r>
  <r>
    <x v="13"/>
    <s v="Beijing"/>
    <n v="2023"/>
    <n v="93541"/>
    <x v="5"/>
    <n v="3775.76"/>
    <n v="262"/>
    <n v="376.69"/>
    <n v="353188.37"/>
    <n v="29858"/>
    <n v="1986"/>
    <n v="227558"/>
    <n v="82363.66"/>
    <n v="8994"/>
  </r>
  <r>
    <x v="18"/>
    <s v="Johannesburg"/>
    <n v="2023"/>
    <n v="199109"/>
    <x v="3"/>
    <n v="3599.98"/>
    <n v="416"/>
    <n v="444.71"/>
    <n v="716788.42"/>
    <n v="41068"/>
    <n v="861"/>
    <n v="827401"/>
    <n v="80043.56"/>
    <n v="5443"/>
  </r>
  <r>
    <x v="18"/>
    <s v="Johannesburg"/>
    <n v="2022"/>
    <n v="145081"/>
    <x v="5"/>
    <n v="1899.18"/>
    <n v="351"/>
    <n v="327.19"/>
    <n v="275534.93"/>
    <n v="30498"/>
    <n v="2659"/>
    <n v="481116"/>
    <n v="49882.79"/>
    <n v="1137"/>
  </r>
  <r>
    <x v="0"/>
    <s v="Florence"/>
    <n v="2021"/>
    <n v="195016"/>
    <x v="4"/>
    <n v="2155.73"/>
    <n v="292"/>
    <n v="428.89"/>
    <n v="420401.84"/>
    <n v="17087"/>
    <n v="1197"/>
    <n v="674771"/>
    <n v="88638.07"/>
    <n v="8009"/>
  </r>
  <r>
    <x v="15"/>
    <s v="Cancun"/>
    <n v="2024"/>
    <n v="153892"/>
    <x v="3"/>
    <n v="1302.68"/>
    <n v="479"/>
    <n v="209.97"/>
    <n v="200472.03"/>
    <n v="38848"/>
    <n v="2820"/>
    <n v="339910"/>
    <n v="35589.279999999999"/>
    <n v="6743"/>
  </r>
  <r>
    <x v="18"/>
    <s v="Cape Town"/>
    <n v="2022"/>
    <n v="86727"/>
    <x v="4"/>
    <n v="3544.11"/>
    <n v="208"/>
    <n v="60.32"/>
    <n v="307370.03000000003"/>
    <n v="48922"/>
    <n v="1163"/>
    <n v="92092"/>
    <n v="90825.48"/>
    <n v="5569"/>
  </r>
  <r>
    <x v="8"/>
    <s v="Antalya"/>
    <n v="2022"/>
    <n v="78854"/>
    <x v="1"/>
    <n v="1561.36"/>
    <n v="162"/>
    <n v="319.2"/>
    <n v="123119.48"/>
    <n v="32386"/>
    <n v="1519"/>
    <n v="595909"/>
    <n v="19121.93"/>
    <n v="1833"/>
  </r>
  <r>
    <x v="8"/>
    <s v="Istanbul"/>
    <n v="2024"/>
    <n v="134045"/>
    <x v="6"/>
    <n v="3829.94"/>
    <n v="374"/>
    <n v="133.01"/>
    <n v="513384.31"/>
    <n v="35268"/>
    <n v="4196"/>
    <n v="551597"/>
    <n v="60716.78"/>
    <n v="1549"/>
  </r>
  <r>
    <x v="8"/>
    <s v="Istanbul"/>
    <n v="2022"/>
    <n v="75122"/>
    <x v="0"/>
    <n v="4427.29"/>
    <n v="470"/>
    <n v="266.41000000000003"/>
    <n v="332586.88"/>
    <n v="30279"/>
    <n v="2125"/>
    <n v="200787"/>
    <n v="91786.77"/>
    <n v="785"/>
  </r>
  <r>
    <x v="1"/>
    <s v="Delhi"/>
    <n v="2022"/>
    <n v="57531"/>
    <x v="5"/>
    <n v="3881.19"/>
    <n v="85"/>
    <n v="56.03"/>
    <n v="223288.74"/>
    <n v="6431"/>
    <n v="2961"/>
    <n v="714917"/>
    <n v="24951.33"/>
    <n v="2114"/>
  </r>
  <r>
    <x v="5"/>
    <s v="Rio de Janeiro"/>
    <n v="2021"/>
    <n v="190905"/>
    <x v="5"/>
    <n v="1706.63"/>
    <n v="277"/>
    <n v="65.13"/>
    <n v="325804.2"/>
    <n v="7643"/>
    <n v="1374"/>
    <n v="416008"/>
    <n v="41962.73"/>
    <n v="771"/>
  </r>
  <r>
    <x v="0"/>
    <s v="Florence"/>
    <n v="2020"/>
    <n v="188999"/>
    <x v="6"/>
    <n v="1075.95"/>
    <n v="454"/>
    <n v="73.52"/>
    <n v="203353.47"/>
    <n v="7539"/>
    <n v="4760"/>
    <n v="461961"/>
    <n v="17537.46"/>
    <n v="8662"/>
  </r>
  <r>
    <x v="11"/>
    <s v="San Francisco"/>
    <n v="2023"/>
    <n v="137896"/>
    <x v="5"/>
    <n v="4853.1000000000004"/>
    <n v="210"/>
    <n v="118.06"/>
    <n v="669223.07999999996"/>
    <n v="29259"/>
    <n v="1097"/>
    <n v="855878"/>
    <n v="197507.28"/>
    <n v="6666"/>
  </r>
  <r>
    <x v="19"/>
    <s v="Sentosa Island"/>
    <n v="2021"/>
    <n v="94629"/>
    <x v="4"/>
    <n v="3258.05"/>
    <n v="147"/>
    <n v="268.11"/>
    <n v="308306.01"/>
    <n v="18140"/>
    <n v="3637"/>
    <n v="695961"/>
    <n v="47152.75"/>
    <n v="8203"/>
  </r>
  <r>
    <x v="8"/>
    <s v="Istanbul"/>
    <n v="2021"/>
    <n v="80651"/>
    <x v="5"/>
    <n v="4901.28"/>
    <n v="98"/>
    <n v="140.61000000000001"/>
    <n v="395293.13"/>
    <n v="23708"/>
    <n v="1591"/>
    <n v="735933"/>
    <n v="21538.11"/>
    <n v="881"/>
  </r>
  <r>
    <x v="18"/>
    <s v="Cape Town"/>
    <n v="2020"/>
    <n v="164586"/>
    <x v="0"/>
    <n v="3020.82"/>
    <n v="418"/>
    <n v="62.23"/>
    <n v="497184.68"/>
    <n v="21280"/>
    <n v="4470"/>
    <n v="224023"/>
    <n v="73425.27"/>
    <n v="2526"/>
  </r>
  <r>
    <x v="12"/>
    <s v="Madrid"/>
    <n v="2023"/>
    <n v="153850"/>
    <x v="4"/>
    <n v="4840.1400000000003"/>
    <n v="123"/>
    <n v="92.32"/>
    <n v="744655.54"/>
    <n v="38243"/>
    <n v="984"/>
    <n v="311716"/>
    <n v="156875.59"/>
    <n v="7071"/>
  </r>
  <r>
    <x v="14"/>
    <s v="Phuket"/>
    <n v="2022"/>
    <n v="135445"/>
    <x v="0"/>
    <n v="1925.43"/>
    <n v="308"/>
    <n v="453.73"/>
    <n v="260789.87"/>
    <n v="6898"/>
    <n v="3476"/>
    <n v="961579"/>
    <n v="25050.49"/>
    <n v="2407"/>
  </r>
  <r>
    <x v="9"/>
    <s v="Santorini"/>
    <n v="2022"/>
    <n v="89901"/>
    <x v="4"/>
    <n v="875.59"/>
    <n v="61"/>
    <n v="382.88"/>
    <n v="78716.42"/>
    <n v="49918"/>
    <n v="1074"/>
    <n v="81852"/>
    <n v="17079.89"/>
    <n v="9886"/>
  </r>
  <r>
    <x v="5"/>
    <s v="Sao Paulo"/>
    <n v="2023"/>
    <n v="58438"/>
    <x v="2"/>
    <n v="3590.87"/>
    <n v="245"/>
    <n v="373.71"/>
    <n v="209843.26"/>
    <n v="29217"/>
    <n v="726"/>
    <n v="720396"/>
    <n v="26046.26"/>
    <n v="7644"/>
  </r>
  <r>
    <x v="19"/>
    <s v="Sentosa Island"/>
    <n v="2023"/>
    <n v="199960"/>
    <x v="1"/>
    <n v="2723.96"/>
    <n v="335"/>
    <n v="128.19"/>
    <n v="544683.04"/>
    <n v="41116"/>
    <n v="1741"/>
    <n v="271373"/>
    <n v="84442.04"/>
    <n v="1198"/>
  </r>
  <r>
    <x v="5"/>
    <s v="Rio de Janeiro"/>
    <n v="2024"/>
    <n v="155400"/>
    <x v="5"/>
    <n v="3097.62"/>
    <n v="157"/>
    <n v="262.08"/>
    <n v="481370.15"/>
    <n v="45718"/>
    <n v="4884"/>
    <n v="239139"/>
    <n v="36866.18"/>
    <n v="6444"/>
  </r>
  <r>
    <x v="0"/>
    <s v="Florence"/>
    <n v="2022"/>
    <n v="88547"/>
    <x v="3"/>
    <n v="4266.6899999999996"/>
    <n v="240"/>
    <n v="203.17"/>
    <n v="377802.6"/>
    <n v="38209"/>
    <n v="1836"/>
    <n v="493316"/>
    <n v="107513.63"/>
    <n v="7474"/>
  </r>
  <r>
    <x v="4"/>
    <s v="Luxor"/>
    <n v="2022"/>
    <n v="191521"/>
    <x v="2"/>
    <n v="4434.0200000000004"/>
    <n v="492"/>
    <n v="99.95"/>
    <n v="849207.94"/>
    <n v="20223"/>
    <n v="641"/>
    <n v="314803"/>
    <n v="69815.23"/>
    <n v="8572"/>
  </r>
  <r>
    <x v="13"/>
    <s v="Beijing"/>
    <n v="2024"/>
    <n v="111709"/>
    <x v="1"/>
    <n v="1760.17"/>
    <n v="132"/>
    <n v="487.75"/>
    <n v="196626.83"/>
    <n v="24330"/>
    <n v="2831"/>
    <n v="841507"/>
    <n v="40374.589999999997"/>
    <n v="3090"/>
  </r>
  <r>
    <x v="13"/>
    <s v="Beijing"/>
    <n v="2024"/>
    <n v="106307"/>
    <x v="1"/>
    <n v="3666.59"/>
    <n v="473"/>
    <n v="168.49"/>
    <n v="389784.18"/>
    <n v="11816"/>
    <n v="2262"/>
    <n v="192312"/>
    <n v="91910.45"/>
    <n v="7904"/>
  </r>
  <r>
    <x v="3"/>
    <s v="London"/>
    <n v="2024"/>
    <n v="139709"/>
    <x v="0"/>
    <n v="4950.63"/>
    <n v="65"/>
    <n v="157.78"/>
    <n v="691647.57"/>
    <n v="36600"/>
    <n v="2815"/>
    <n v="235378"/>
    <n v="171037.67"/>
    <n v="7951"/>
  </r>
  <r>
    <x v="4"/>
    <s v="Luxor"/>
    <n v="2024"/>
    <n v="66288"/>
    <x v="2"/>
    <n v="2863.58"/>
    <n v="84"/>
    <n v="423.18"/>
    <n v="189820.99"/>
    <n v="49096"/>
    <n v="842"/>
    <n v="82174"/>
    <n v="52707.43"/>
    <n v="6848"/>
  </r>
  <r>
    <x v="13"/>
    <s v="Beijing"/>
    <n v="2024"/>
    <n v="195639"/>
    <x v="2"/>
    <n v="2503.61"/>
    <n v="228"/>
    <n v="156.85"/>
    <n v="489803.76"/>
    <n v="22862"/>
    <n v="1271"/>
    <n v="605083"/>
    <n v="104355.66"/>
    <n v="9402"/>
  </r>
  <r>
    <x v="12"/>
    <s v="Seville"/>
    <n v="2023"/>
    <n v="90197"/>
    <x v="6"/>
    <n v="513.14"/>
    <n v="311"/>
    <n v="70.540000000000006"/>
    <n v="46283.69"/>
    <n v="45583"/>
    <n v="4957"/>
    <n v="467216"/>
    <n v="7786.9"/>
    <n v="5908"/>
  </r>
  <r>
    <x v="0"/>
    <s v="Rome"/>
    <n v="2023"/>
    <n v="187868"/>
    <x v="2"/>
    <n v="4343.6099999999997"/>
    <n v="185"/>
    <n v="66.52"/>
    <n v="816025.32"/>
    <n v="42755"/>
    <n v="840"/>
    <n v="315972"/>
    <n v="145388.73000000001"/>
    <n v="5012"/>
  </r>
  <r>
    <x v="14"/>
    <s v="Chiang Mai"/>
    <n v="2020"/>
    <n v="54648"/>
    <x v="0"/>
    <n v="2892.2"/>
    <n v="232"/>
    <n v="443.4"/>
    <n v="158052.95000000001"/>
    <n v="9492"/>
    <n v="2017"/>
    <n v="655842"/>
    <n v="44627.31"/>
    <n v="6232"/>
  </r>
  <r>
    <x v="2"/>
    <s v="Osaka"/>
    <n v="2023"/>
    <n v="184393"/>
    <x v="0"/>
    <n v="4382.96"/>
    <n v="207"/>
    <n v="165.92"/>
    <n v="808187.14"/>
    <n v="5726"/>
    <n v="2375"/>
    <n v="335521"/>
    <n v="174829.49"/>
    <n v="1874"/>
  </r>
  <r>
    <x v="4"/>
    <s v="Luxor"/>
    <n v="2022"/>
    <n v="60651"/>
    <x v="6"/>
    <n v="4551.45"/>
    <n v="292"/>
    <n v="209.65"/>
    <n v="276049.99"/>
    <n v="10889"/>
    <n v="4700"/>
    <n v="951321"/>
    <n v="54772.51"/>
    <n v="7644"/>
  </r>
  <r>
    <x v="4"/>
    <s v="Luxor"/>
    <n v="2021"/>
    <n v="156022"/>
    <x v="4"/>
    <n v="3757.88"/>
    <n v="51"/>
    <n v="288.5"/>
    <n v="586311.94999999995"/>
    <n v="38154"/>
    <n v="4508"/>
    <n v="734029"/>
    <n v="95107.58"/>
    <n v="4769"/>
  </r>
  <r>
    <x v="14"/>
    <s v="Bangkok"/>
    <n v="2021"/>
    <n v="169006"/>
    <x v="6"/>
    <n v="4175.25"/>
    <n v="326"/>
    <n v="361.62"/>
    <n v="705642.3"/>
    <n v="40426"/>
    <n v="2620"/>
    <n v="742148"/>
    <n v="139414.73000000001"/>
    <n v="3343"/>
  </r>
  <r>
    <x v="5"/>
    <s v="Rio de Janeiro"/>
    <n v="2023"/>
    <n v="89758"/>
    <x v="1"/>
    <n v="944.93"/>
    <n v="209"/>
    <n v="217.03"/>
    <n v="84815.03"/>
    <n v="6141"/>
    <n v="4500"/>
    <n v="813799"/>
    <n v="7778.81"/>
    <n v="2706"/>
  </r>
  <r>
    <x v="9"/>
    <s v="Athens"/>
    <n v="2024"/>
    <n v="167961"/>
    <x v="1"/>
    <n v="3366.06"/>
    <n v="175"/>
    <n v="318.19"/>
    <n v="565366.80000000005"/>
    <n v="16120"/>
    <n v="1429"/>
    <n v="782847"/>
    <n v="167919.02"/>
    <n v="7080"/>
  </r>
  <r>
    <x v="3"/>
    <s v="Manchester"/>
    <n v="2024"/>
    <n v="188141"/>
    <x v="5"/>
    <n v="2774.55"/>
    <n v="309"/>
    <n v="94.69"/>
    <n v="522006.61"/>
    <n v="12597"/>
    <n v="1757"/>
    <n v="782722"/>
    <n v="124787.46"/>
    <n v="2272"/>
  </r>
  <r>
    <x v="6"/>
    <s v="Dubai"/>
    <n v="2023"/>
    <n v="58036"/>
    <x v="5"/>
    <n v="2498.5700000000002"/>
    <n v="250"/>
    <n v="492.81"/>
    <n v="145007.01"/>
    <n v="25538"/>
    <n v="2436"/>
    <n v="109500"/>
    <n v="35292.49"/>
    <n v="8656"/>
  </r>
  <r>
    <x v="16"/>
    <s v="Montreal"/>
    <n v="2023"/>
    <n v="136836"/>
    <x v="3"/>
    <n v="2481.9899999999998"/>
    <n v="465"/>
    <n v="369.06"/>
    <n v="339625.58"/>
    <n v="9857"/>
    <n v="3489"/>
    <n v="656590"/>
    <n v="99036.3"/>
    <n v="9595"/>
  </r>
  <r>
    <x v="16"/>
    <s v="Vancouver"/>
    <n v="2021"/>
    <n v="131532"/>
    <x v="2"/>
    <n v="3318.05"/>
    <n v="484"/>
    <n v="402.07"/>
    <n v="436429.75"/>
    <n v="24554"/>
    <n v="2651"/>
    <n v="649253"/>
    <n v="89540.160000000003"/>
    <n v="8948"/>
  </r>
  <r>
    <x v="7"/>
    <s v="Lyon"/>
    <n v="2024"/>
    <n v="85428"/>
    <x v="6"/>
    <n v="1524.87"/>
    <n v="166"/>
    <n v="319.60000000000002"/>
    <n v="130266.59"/>
    <n v="31421"/>
    <n v="3711"/>
    <n v="650309"/>
    <n v="32257.58"/>
    <n v="657"/>
  </r>
  <r>
    <x v="1"/>
    <s v="Mumbai"/>
    <n v="2022"/>
    <n v="98651"/>
    <x v="0"/>
    <n v="4771"/>
    <n v="157"/>
    <n v="267.52999999999997"/>
    <n v="470663.92"/>
    <n v="34535"/>
    <n v="2110"/>
    <n v="471280"/>
    <n v="75450.22"/>
    <n v="3636"/>
  </r>
  <r>
    <x v="14"/>
    <s v="Phuket"/>
    <n v="2022"/>
    <n v="163613"/>
    <x v="1"/>
    <n v="2495.5500000000002"/>
    <n v="288"/>
    <n v="308.08999999999997"/>
    <n v="408304.42"/>
    <n v="38132"/>
    <n v="3058"/>
    <n v="622744"/>
    <n v="20738.580000000002"/>
    <n v="7842"/>
  </r>
  <r>
    <x v="4"/>
    <s v="Cairo"/>
    <n v="2020"/>
    <n v="71826"/>
    <x v="1"/>
    <n v="2796.95"/>
    <n v="336"/>
    <n v="380.31"/>
    <n v="200893.73"/>
    <n v="38905"/>
    <n v="3920"/>
    <n v="186917"/>
    <n v="44826.04"/>
    <n v="6437"/>
  </r>
  <r>
    <x v="12"/>
    <s v="Barcelona"/>
    <n v="2020"/>
    <n v="193016"/>
    <x v="0"/>
    <n v="1448.17"/>
    <n v="352"/>
    <n v="495.75"/>
    <n v="279519.98"/>
    <n v="15503"/>
    <n v="4059"/>
    <n v="848022"/>
    <n v="17062.03"/>
    <n v="4336"/>
  </r>
  <r>
    <x v="13"/>
    <s v="Beijing"/>
    <n v="2023"/>
    <n v="92727"/>
    <x v="6"/>
    <n v="4198.67"/>
    <n v="306"/>
    <n v="430.66"/>
    <n v="389330.07"/>
    <n v="15433"/>
    <n v="4106"/>
    <n v="389208"/>
    <n v="46752.160000000003"/>
    <n v="3755"/>
  </r>
  <r>
    <x v="14"/>
    <s v="Phuket"/>
    <n v="2022"/>
    <n v="91869"/>
    <x v="4"/>
    <n v="4764.6000000000004"/>
    <n v="110"/>
    <n v="95.42"/>
    <n v="437719.03999999998"/>
    <n v="13549"/>
    <n v="2922"/>
    <n v="193521"/>
    <n v="99262.26"/>
    <n v="2655"/>
  </r>
  <r>
    <x v="0"/>
    <s v="Rome"/>
    <n v="2024"/>
    <n v="118487"/>
    <x v="3"/>
    <n v="1185.48"/>
    <n v="167"/>
    <n v="194.67"/>
    <n v="140463.97"/>
    <n v="33454"/>
    <n v="936"/>
    <n v="172258"/>
    <n v="29771.95"/>
    <n v="5665"/>
  </r>
  <r>
    <x v="4"/>
    <s v="Luxor"/>
    <n v="2022"/>
    <n v="171929"/>
    <x v="1"/>
    <n v="3311.53"/>
    <n v="209"/>
    <n v="286.83"/>
    <n v="569348.04"/>
    <n v="36921"/>
    <n v="1511"/>
    <n v="975748"/>
    <n v="107108.74"/>
    <n v="5685"/>
  </r>
  <r>
    <x v="2"/>
    <s v="Tokyo"/>
    <n v="2024"/>
    <n v="124763"/>
    <x v="3"/>
    <n v="1779.23"/>
    <n v="403"/>
    <n v="374.77"/>
    <n v="221982.07"/>
    <n v="12016"/>
    <n v="1764"/>
    <n v="663369"/>
    <n v="50780.55"/>
    <n v="6156"/>
  </r>
  <r>
    <x v="17"/>
    <s v="Sydney"/>
    <n v="2022"/>
    <n v="130811"/>
    <x v="5"/>
    <n v="1923.22"/>
    <n v="114"/>
    <n v="108.47"/>
    <n v="251578.33"/>
    <n v="10793"/>
    <n v="1318"/>
    <n v="141218"/>
    <n v="36310.18"/>
    <n v="6461"/>
  </r>
  <r>
    <x v="3"/>
    <s v="London"/>
    <n v="2023"/>
    <n v="112368"/>
    <x v="3"/>
    <n v="4299.12"/>
    <n v="224"/>
    <n v="125.13"/>
    <n v="483083.52000000002"/>
    <n v="17180"/>
    <n v="1428"/>
    <n v="561511"/>
    <n v="138979.82999999999"/>
    <n v="7222"/>
  </r>
  <r>
    <x v="0"/>
    <s v="Florence"/>
    <n v="2022"/>
    <n v="55842"/>
    <x v="1"/>
    <n v="716.84"/>
    <n v="353"/>
    <n v="223.3"/>
    <n v="40029.78"/>
    <n v="30599"/>
    <n v="3874"/>
    <n v="641343"/>
    <n v="5691.31"/>
    <n v="2357"/>
  </r>
  <r>
    <x v="0"/>
    <s v="Venice"/>
    <n v="2022"/>
    <n v="77364"/>
    <x v="4"/>
    <n v="4326.57"/>
    <n v="378"/>
    <n v="441.39"/>
    <n v="334720.76"/>
    <n v="39773"/>
    <n v="3168"/>
    <n v="551590"/>
    <n v="41446.92"/>
    <n v="6569"/>
  </r>
  <r>
    <x v="16"/>
    <s v="Vancouver"/>
    <n v="2023"/>
    <n v="108283"/>
    <x v="0"/>
    <n v="3709.43"/>
    <n v="405"/>
    <n v="88.4"/>
    <n v="401668.21"/>
    <n v="38002"/>
    <n v="2596"/>
    <n v="840645"/>
    <n v="74690.78"/>
    <n v="3273"/>
  </r>
  <r>
    <x v="11"/>
    <s v="Los Angeles"/>
    <n v="2021"/>
    <n v="68199"/>
    <x v="2"/>
    <n v="3692.22"/>
    <n v="212"/>
    <n v="271.79000000000002"/>
    <n v="251805.71"/>
    <n v="39926"/>
    <n v="4351"/>
    <n v="741381"/>
    <n v="58221.04"/>
    <n v="4023"/>
  </r>
  <r>
    <x v="13"/>
    <s v="Guangzhou"/>
    <n v="2023"/>
    <n v="152518"/>
    <x v="4"/>
    <n v="3978.15"/>
    <n v="235"/>
    <n v="435.71"/>
    <n v="606739.48"/>
    <n v="37245"/>
    <n v="2722"/>
    <n v="164397"/>
    <n v="57904.06"/>
    <n v="6298"/>
  </r>
  <r>
    <x v="18"/>
    <s v="Johannesburg"/>
    <n v="2023"/>
    <n v="119561"/>
    <x v="1"/>
    <n v="3388.37"/>
    <n v="257"/>
    <n v="184.91"/>
    <n v="405116.91"/>
    <n v="25963"/>
    <n v="4902"/>
    <n v="726296"/>
    <n v="104293.61"/>
    <n v="8935"/>
  </r>
  <r>
    <x v="4"/>
    <s v="Luxor"/>
    <n v="2020"/>
    <n v="140306"/>
    <x v="3"/>
    <n v="4718.2"/>
    <n v="254"/>
    <n v="386.35"/>
    <n v="661991.77"/>
    <n v="44382"/>
    <n v="1015"/>
    <n v="162217"/>
    <n v="72679.87"/>
    <n v="6783"/>
  </r>
  <r>
    <x v="12"/>
    <s v="Madrid"/>
    <n v="2024"/>
    <n v="99429"/>
    <x v="2"/>
    <n v="1514.22"/>
    <n v="411"/>
    <n v="453.23"/>
    <n v="150557.38"/>
    <n v="36226"/>
    <n v="960"/>
    <n v="430596"/>
    <n v="41644.959999999999"/>
    <n v="6807"/>
  </r>
  <r>
    <x v="5"/>
    <s v="Sao Paulo"/>
    <n v="2023"/>
    <n v="73989"/>
    <x v="6"/>
    <n v="4505.6400000000003"/>
    <n v="291"/>
    <n v="360.54"/>
    <n v="333367.8"/>
    <n v="21241"/>
    <n v="2795"/>
    <n v="543216"/>
    <n v="60811.26"/>
    <n v="7657"/>
  </r>
  <r>
    <x v="4"/>
    <s v="Cairo"/>
    <n v="2022"/>
    <n v="94605"/>
    <x v="6"/>
    <n v="2568.4899999999998"/>
    <n v="446"/>
    <n v="256.37"/>
    <n v="242992"/>
    <n v="35722"/>
    <n v="1616"/>
    <n v="617815"/>
    <n v="15185.73"/>
    <n v="9838"/>
  </r>
  <r>
    <x v="6"/>
    <s v="Dubai"/>
    <n v="2021"/>
    <n v="104110"/>
    <x v="1"/>
    <n v="4822.82"/>
    <n v="404"/>
    <n v="274.20999999999998"/>
    <n v="502103.79"/>
    <n v="35527"/>
    <n v="2993"/>
    <n v="925512"/>
    <n v="82717.02"/>
    <n v="9575"/>
  </r>
  <r>
    <x v="11"/>
    <s v="San Francisco"/>
    <n v="2020"/>
    <n v="75372"/>
    <x v="3"/>
    <n v="4746.66"/>
    <n v="294"/>
    <n v="478.8"/>
    <n v="357765.26"/>
    <n v="10366"/>
    <n v="2909"/>
    <n v="451415"/>
    <n v="45615.07"/>
    <n v="3767"/>
  </r>
  <r>
    <x v="16"/>
    <s v="Montreal"/>
    <n v="2021"/>
    <n v="143783"/>
    <x v="1"/>
    <n v="4348.43"/>
    <n v="470"/>
    <n v="54.07"/>
    <n v="625230.31000000006"/>
    <n v="23020"/>
    <n v="4509"/>
    <n v="331854"/>
    <n v="65973.66"/>
    <n v="5822"/>
  </r>
  <r>
    <x v="16"/>
    <s v="Toronto"/>
    <n v="2021"/>
    <n v="131050"/>
    <x v="4"/>
    <n v="2664.01"/>
    <n v="59"/>
    <n v="455.62"/>
    <n v="349118.51"/>
    <n v="45695"/>
    <n v="2676"/>
    <n v="157096"/>
    <n v="49899.86"/>
    <n v="3796"/>
  </r>
  <r>
    <x v="13"/>
    <s v="Shanghai"/>
    <n v="2024"/>
    <n v="176310"/>
    <x v="6"/>
    <n v="2107.0500000000002"/>
    <n v="165"/>
    <n v="223.85"/>
    <n v="371493.99"/>
    <n v="22076"/>
    <n v="3508"/>
    <n v="756673"/>
    <n v="100057.78"/>
    <n v="9356"/>
  </r>
  <r>
    <x v="15"/>
    <s v="Mexico City"/>
    <n v="2022"/>
    <n v="84681"/>
    <x v="0"/>
    <n v="1166.8"/>
    <n v="474"/>
    <n v="477.71"/>
    <n v="98805.79"/>
    <n v="17996"/>
    <n v="3371"/>
    <n v="96002"/>
    <n v="13001.32"/>
    <n v="6397"/>
  </r>
  <r>
    <x v="11"/>
    <s v="Miami"/>
    <n v="2023"/>
    <n v="57812"/>
    <x v="5"/>
    <n v="4011.64"/>
    <n v="448"/>
    <n v="295.02999999999997"/>
    <n v="231920.93"/>
    <n v="40948"/>
    <n v="1891"/>
    <n v="143330"/>
    <n v="13498.36"/>
    <n v="2568"/>
  </r>
  <r>
    <x v="9"/>
    <s v="Athens"/>
    <n v="2021"/>
    <n v="141502"/>
    <x v="5"/>
    <n v="4261.22"/>
    <n v="73"/>
    <n v="208.67"/>
    <n v="602971.15"/>
    <n v="24459"/>
    <n v="2980"/>
    <n v="187686"/>
    <n v="73868.37"/>
    <n v="4876"/>
  </r>
  <r>
    <x v="7"/>
    <s v="Nice"/>
    <n v="2024"/>
    <n v="99976"/>
    <x v="0"/>
    <n v="775.99"/>
    <n v="362"/>
    <n v="487.89"/>
    <n v="77580.38"/>
    <n v="27918"/>
    <n v="3656"/>
    <n v="874834"/>
    <n v="4885.6400000000003"/>
    <n v="3340"/>
  </r>
  <r>
    <x v="15"/>
    <s v="Cancun"/>
    <n v="2022"/>
    <n v="143526"/>
    <x v="4"/>
    <n v="4532.18"/>
    <n v="161"/>
    <n v="417.55"/>
    <n v="650485.67000000004"/>
    <n v="21589"/>
    <n v="3950"/>
    <n v="188286"/>
    <n v="192683.35"/>
    <n v="8563"/>
  </r>
  <r>
    <x v="13"/>
    <s v="Beijing"/>
    <n v="2020"/>
    <n v="160138"/>
    <x v="3"/>
    <n v="3892.23"/>
    <n v="211"/>
    <n v="401.28"/>
    <n v="623293.93000000005"/>
    <n v="13712"/>
    <n v="4051"/>
    <n v="848729"/>
    <n v="87527.65"/>
    <n v="2900"/>
  </r>
  <r>
    <x v="1"/>
    <s v="Jaipur"/>
    <n v="2020"/>
    <n v="183682"/>
    <x v="4"/>
    <n v="4698.16"/>
    <n v="153"/>
    <n v="131.09"/>
    <n v="862967.43"/>
    <n v="6914"/>
    <n v="1506"/>
    <n v="115942"/>
    <n v="226630.7"/>
    <n v="2220"/>
  </r>
  <r>
    <x v="7"/>
    <s v="Nice"/>
    <n v="2022"/>
    <n v="71644"/>
    <x v="2"/>
    <n v="3493.16"/>
    <n v="386"/>
    <n v="365.53"/>
    <n v="250263.96"/>
    <n v="30675"/>
    <n v="2656"/>
    <n v="347142"/>
    <n v="32032.79"/>
    <n v="7719"/>
  </r>
  <r>
    <x v="19"/>
    <s v="Sentosa Island"/>
    <n v="2020"/>
    <n v="121569"/>
    <x v="0"/>
    <n v="4019.77"/>
    <n v="127"/>
    <n v="366.66"/>
    <n v="488679.42"/>
    <n v="9769"/>
    <n v="3886"/>
    <n v="528108"/>
    <n v="91191.28"/>
    <n v="6526"/>
  </r>
  <r>
    <x v="9"/>
    <s v="Athens"/>
    <n v="2023"/>
    <n v="159903"/>
    <x v="3"/>
    <n v="1306.6500000000001"/>
    <n v="196"/>
    <n v="228.45"/>
    <n v="208937.25"/>
    <n v="9986"/>
    <n v="4231"/>
    <n v="696238"/>
    <n v="25597.19"/>
    <n v="3377"/>
  </r>
  <r>
    <x v="6"/>
    <s v="Abu Dhabi"/>
    <n v="2020"/>
    <n v="177426"/>
    <x v="3"/>
    <n v="4918.58"/>
    <n v="377"/>
    <n v="73.33"/>
    <n v="872683.98"/>
    <n v="5112"/>
    <n v="2878"/>
    <n v="142036"/>
    <n v="179182.19"/>
    <n v="6361"/>
  </r>
  <r>
    <x v="17"/>
    <s v="Brisbane"/>
    <n v="2024"/>
    <n v="50887"/>
    <x v="1"/>
    <n v="1785.91"/>
    <n v="68"/>
    <n v="354.89"/>
    <n v="90879.6"/>
    <n v="31049"/>
    <n v="951"/>
    <n v="547952"/>
    <n v="19799.919999999998"/>
    <n v="6041"/>
  </r>
  <r>
    <x v="15"/>
    <s v="Cancun"/>
    <n v="2022"/>
    <n v="172332"/>
    <x v="4"/>
    <n v="1750.34"/>
    <n v="251"/>
    <n v="461.63"/>
    <n v="301639.59000000003"/>
    <n v="30991"/>
    <n v="701"/>
    <n v="760672"/>
    <n v="56390.37"/>
    <n v="3902"/>
  </r>
  <r>
    <x v="8"/>
    <s v="Antalya"/>
    <n v="2020"/>
    <n v="176155"/>
    <x v="0"/>
    <n v="3224.67"/>
    <n v="340"/>
    <n v="170.84"/>
    <n v="568041.74"/>
    <n v="10755"/>
    <n v="4617"/>
    <n v="664553"/>
    <n v="39333.97"/>
    <n v="2295"/>
  </r>
  <r>
    <x v="17"/>
    <s v="Melbourne"/>
    <n v="2023"/>
    <n v="111842"/>
    <x v="3"/>
    <n v="3418.27"/>
    <n v="339"/>
    <n v="366.71"/>
    <n v="382306.15"/>
    <n v="39510"/>
    <n v="4668"/>
    <n v="423216"/>
    <n v="74889.66"/>
    <n v="7719"/>
  </r>
  <r>
    <x v="13"/>
    <s v="Beijing"/>
    <n v="2023"/>
    <n v="124816"/>
    <x v="3"/>
    <n v="2520.88"/>
    <n v="364"/>
    <n v="381.44"/>
    <n v="314646.15999999997"/>
    <n v="39039"/>
    <n v="1109"/>
    <n v="134381"/>
    <n v="47838.15"/>
    <n v="7431"/>
  </r>
  <r>
    <x v="13"/>
    <s v="Shanghai"/>
    <n v="2021"/>
    <n v="115618"/>
    <x v="3"/>
    <n v="2295.66"/>
    <n v="155"/>
    <n v="382.73"/>
    <n v="265419.62"/>
    <n v="35981"/>
    <n v="3204"/>
    <n v="132289"/>
    <n v="34972"/>
    <n v="3776"/>
  </r>
  <r>
    <x v="6"/>
    <s v="Dubai"/>
    <n v="2022"/>
    <n v="183498"/>
    <x v="3"/>
    <n v="540.74"/>
    <n v="322"/>
    <n v="296.08999999999997"/>
    <n v="99224.71"/>
    <n v="30640"/>
    <n v="2759"/>
    <n v="768316"/>
    <n v="9904.3700000000008"/>
    <n v="5794"/>
  </r>
  <r>
    <x v="13"/>
    <s v="Shanghai"/>
    <n v="2024"/>
    <n v="110128"/>
    <x v="4"/>
    <n v="1718.63"/>
    <n v="345"/>
    <n v="209.69"/>
    <n v="189269.28"/>
    <n v="32586"/>
    <n v="1684"/>
    <n v="136346"/>
    <n v="27074.99"/>
    <n v="5383"/>
  </r>
  <r>
    <x v="10"/>
    <s v="Frankfurt"/>
    <n v="2020"/>
    <n v="188682"/>
    <x v="0"/>
    <n v="4040.46"/>
    <n v="407"/>
    <n v="384.3"/>
    <n v="762362.07"/>
    <n v="15103"/>
    <n v="1190"/>
    <n v="132409"/>
    <n v="77421.19"/>
    <n v="3012"/>
  </r>
  <r>
    <x v="9"/>
    <s v="Santorini"/>
    <n v="2022"/>
    <n v="141829"/>
    <x v="3"/>
    <n v="657.54"/>
    <n v="307"/>
    <n v="333.61"/>
    <n v="93258.240000000005"/>
    <n v="9458"/>
    <n v="1241"/>
    <n v="527177"/>
    <n v="17136.8"/>
    <n v="162"/>
  </r>
  <r>
    <x v="10"/>
    <s v="Munich"/>
    <n v="2024"/>
    <n v="156133"/>
    <x v="5"/>
    <n v="3194.8"/>
    <n v="263"/>
    <n v="276.18"/>
    <n v="498813.71"/>
    <n v="41412"/>
    <n v="2635"/>
    <n v="516755"/>
    <n v="59987.1"/>
    <n v="1737"/>
  </r>
  <r>
    <x v="4"/>
    <s v="Cairo"/>
    <n v="2021"/>
    <n v="81781"/>
    <x v="5"/>
    <n v="2823.91"/>
    <n v="397"/>
    <n v="348.9"/>
    <n v="230942.18"/>
    <n v="36174"/>
    <n v="1302"/>
    <n v="825107"/>
    <n v="29433.98"/>
    <n v="8568"/>
  </r>
  <r>
    <x v="9"/>
    <s v="Santorini"/>
    <n v="2020"/>
    <n v="176270"/>
    <x v="0"/>
    <n v="4426.8599999999997"/>
    <n v="351"/>
    <n v="461.2"/>
    <n v="780322.61"/>
    <n v="49895"/>
    <n v="1700"/>
    <n v="131257"/>
    <n v="84232.62"/>
    <n v="2694"/>
  </r>
  <r>
    <x v="3"/>
    <s v="Manchester"/>
    <n v="2022"/>
    <n v="106358"/>
    <x v="4"/>
    <n v="4364.68"/>
    <n v="125"/>
    <n v="436.44"/>
    <n v="464218.64"/>
    <n v="21322"/>
    <n v="3442"/>
    <n v="888357"/>
    <n v="76501.98"/>
    <n v="1747"/>
  </r>
  <r>
    <x v="17"/>
    <s v="Melbourne"/>
    <n v="2020"/>
    <n v="55520"/>
    <x v="3"/>
    <n v="4383.38"/>
    <n v="157"/>
    <n v="281.72000000000003"/>
    <n v="243365.26"/>
    <n v="9757"/>
    <n v="1220"/>
    <n v="644557"/>
    <n v="66369.09"/>
    <n v="7278"/>
  </r>
  <r>
    <x v="5"/>
    <s v="Sao Paulo"/>
    <n v="2020"/>
    <n v="119166"/>
    <x v="1"/>
    <n v="1553.92"/>
    <n v="461"/>
    <n v="307.36"/>
    <n v="185174.43"/>
    <n v="48370"/>
    <n v="3860"/>
    <n v="610608"/>
    <n v="41498.97"/>
    <n v="5718"/>
  </r>
  <r>
    <x v="5"/>
    <s v="Sao Paulo"/>
    <n v="2024"/>
    <n v="182992"/>
    <x v="3"/>
    <n v="2896.27"/>
    <n v="482"/>
    <n v="273.07"/>
    <n v="529994.23999999999"/>
    <n v="32964"/>
    <n v="3187"/>
    <n v="956071"/>
    <n v="53827.82"/>
    <n v="916"/>
  </r>
  <r>
    <x v="11"/>
    <s v="San Francisco"/>
    <n v="2024"/>
    <n v="161718"/>
    <x v="1"/>
    <n v="581.55999999999995"/>
    <n v="74"/>
    <n v="352.96"/>
    <n v="94048.72"/>
    <n v="37130"/>
    <n v="4200"/>
    <n v="998202"/>
    <n v="10657.42"/>
    <n v="4004"/>
  </r>
  <r>
    <x v="2"/>
    <s v="Osaka"/>
    <n v="2023"/>
    <n v="171948"/>
    <x v="2"/>
    <n v="4294.97"/>
    <n v="484"/>
    <n v="178.48"/>
    <n v="738511.5"/>
    <n v="34894"/>
    <n v="4934"/>
    <n v="230882"/>
    <n v="199870.73"/>
    <n v="9547"/>
  </r>
  <r>
    <x v="7"/>
    <s v="Paris"/>
    <n v="2020"/>
    <n v="73185"/>
    <x v="2"/>
    <n v="1415.63"/>
    <n v="71"/>
    <n v="265.67"/>
    <n v="103602.88"/>
    <n v="32374"/>
    <n v="2839"/>
    <n v="168094"/>
    <n v="21972.05"/>
    <n v="2482"/>
  </r>
  <r>
    <x v="15"/>
    <s v="Cancun"/>
    <n v="2023"/>
    <n v="129698"/>
    <x v="1"/>
    <n v="3781.56"/>
    <n v="488"/>
    <n v="216.31"/>
    <n v="490460.77"/>
    <n v="27010"/>
    <n v="3390"/>
    <n v="442670"/>
    <n v="25548.55"/>
    <n v="770"/>
  </r>
  <r>
    <x v="13"/>
    <s v="Shanghai"/>
    <n v="2021"/>
    <n v="198961"/>
    <x v="3"/>
    <n v="2967.89"/>
    <n v="185"/>
    <n v="241.73"/>
    <n v="590494.36"/>
    <n v="39660"/>
    <n v="2353"/>
    <n v="151158"/>
    <n v="141497.49"/>
    <n v="2718"/>
  </r>
  <r>
    <x v="18"/>
    <s v="Cape Town"/>
    <n v="2024"/>
    <n v="136598"/>
    <x v="3"/>
    <n v="2061.33"/>
    <n v="491"/>
    <n v="458.7"/>
    <n v="281573.56"/>
    <n v="15966"/>
    <n v="2312"/>
    <n v="393615"/>
    <n v="74095.02"/>
    <n v="3616"/>
  </r>
  <r>
    <x v="8"/>
    <s v="Istanbul"/>
    <n v="2023"/>
    <n v="168028"/>
    <x v="1"/>
    <n v="2237.9499999999998"/>
    <n v="362"/>
    <n v="158.68"/>
    <n v="376038.26"/>
    <n v="38722"/>
    <n v="3281"/>
    <n v="581147"/>
    <n v="88909.86"/>
    <n v="470"/>
  </r>
  <r>
    <x v="3"/>
    <s v="Manchester"/>
    <n v="2023"/>
    <n v="185958"/>
    <x v="3"/>
    <n v="4083.09"/>
    <n v="343"/>
    <n v="289.95999999999998"/>
    <n v="759283.25"/>
    <n v="17226"/>
    <n v="4751"/>
    <n v="311497"/>
    <n v="162241.57"/>
    <n v="1330"/>
  </r>
  <r>
    <x v="18"/>
    <s v="Johannesburg"/>
    <n v="2024"/>
    <n v="93395"/>
    <x v="1"/>
    <n v="4924.88"/>
    <n v="406"/>
    <n v="386.53"/>
    <n v="459959.17"/>
    <n v="21544"/>
    <n v="1268"/>
    <n v="578036"/>
    <n v="26870.400000000001"/>
    <n v="3291"/>
  </r>
  <r>
    <x v="14"/>
    <s v="Chiang Mai"/>
    <n v="2024"/>
    <n v="166525"/>
    <x v="4"/>
    <n v="1953.62"/>
    <n v="236"/>
    <n v="281.39"/>
    <n v="325326.57"/>
    <n v="37510"/>
    <n v="4699"/>
    <n v="152476"/>
    <n v="84981.1"/>
    <n v="2835"/>
  </r>
  <r>
    <x v="11"/>
    <s v="San Francisco"/>
    <n v="2021"/>
    <n v="125403"/>
    <x v="0"/>
    <n v="3866.83"/>
    <n v="414"/>
    <n v="259.62"/>
    <n v="484912.08"/>
    <n v="33302"/>
    <n v="3328"/>
    <n v="899776"/>
    <n v="132345.95000000001"/>
    <n v="6744"/>
  </r>
  <r>
    <x v="10"/>
    <s v="Frankfurt"/>
    <n v="2021"/>
    <n v="151154"/>
    <x v="4"/>
    <n v="577.16999999999996"/>
    <n v="482"/>
    <n v="393.04"/>
    <n v="87241.55"/>
    <n v="35926"/>
    <n v="3926"/>
    <n v="828754"/>
    <n v="23215.7"/>
    <n v="4578"/>
  </r>
  <r>
    <x v="13"/>
    <s v="Beijing"/>
    <n v="2023"/>
    <n v="189282"/>
    <x v="2"/>
    <n v="3683.29"/>
    <n v="325"/>
    <n v="306.27"/>
    <n v="697180.5"/>
    <n v="16094"/>
    <n v="3087"/>
    <n v="434708"/>
    <n v="116653.15"/>
    <n v="2317"/>
  </r>
  <r>
    <x v="12"/>
    <s v="Madrid"/>
    <n v="2024"/>
    <n v="102691"/>
    <x v="4"/>
    <n v="2768.02"/>
    <n v="238"/>
    <n v="353.65"/>
    <n v="284250.74"/>
    <n v="44605"/>
    <n v="1598"/>
    <n v="568420"/>
    <n v="18077.689999999999"/>
    <n v="1017"/>
  </r>
  <r>
    <x v="13"/>
    <s v="Beijing"/>
    <n v="2023"/>
    <n v="125602"/>
    <x v="3"/>
    <n v="4146.16"/>
    <n v="153"/>
    <n v="367.31"/>
    <n v="520765.99"/>
    <n v="14941"/>
    <n v="4688"/>
    <n v="109821"/>
    <n v="28530.799999999999"/>
    <n v="4975"/>
  </r>
  <r>
    <x v="9"/>
    <s v="Santorini"/>
    <n v="2020"/>
    <n v="116677"/>
    <x v="6"/>
    <n v="4595.96"/>
    <n v="139"/>
    <n v="230.85"/>
    <n v="536242.81999999995"/>
    <n v="24404"/>
    <n v="1444"/>
    <n v="724533"/>
    <n v="37343.660000000003"/>
    <n v="7275"/>
  </r>
  <r>
    <x v="16"/>
    <s v="Montreal"/>
    <n v="2023"/>
    <n v="139049"/>
    <x v="0"/>
    <n v="3230.81"/>
    <n v="193"/>
    <n v="360.81"/>
    <n v="449240.9"/>
    <n v="27250"/>
    <n v="1454"/>
    <n v="510014"/>
    <n v="64627.92"/>
    <n v="2359"/>
  </r>
  <r>
    <x v="6"/>
    <s v="Dubai"/>
    <n v="2023"/>
    <n v="165945"/>
    <x v="5"/>
    <n v="3213.68"/>
    <n v="256"/>
    <n v="431.32"/>
    <n v="533294.13"/>
    <n v="8805"/>
    <n v="4356"/>
    <n v="85903"/>
    <n v="67468.570000000007"/>
    <n v="2717"/>
  </r>
  <r>
    <x v="7"/>
    <s v="Lyon"/>
    <n v="2024"/>
    <n v="82101"/>
    <x v="0"/>
    <n v="836.7"/>
    <n v="133"/>
    <n v="487.88"/>
    <n v="68693.91"/>
    <n v="31616"/>
    <n v="4831"/>
    <n v="256903"/>
    <n v="6994.29"/>
    <n v="749"/>
  </r>
  <r>
    <x v="12"/>
    <s v="Barcelona"/>
    <n v="2024"/>
    <n v="196480"/>
    <x v="4"/>
    <n v="1861.16"/>
    <n v="331"/>
    <n v="414.06"/>
    <n v="365680.72"/>
    <n v="49254"/>
    <n v="4761"/>
    <n v="724174"/>
    <n v="43092.36"/>
    <n v="3473"/>
  </r>
  <r>
    <x v="1"/>
    <s v="Jaipur"/>
    <n v="2022"/>
    <n v="191407"/>
    <x v="4"/>
    <n v="2653.23"/>
    <n v="177"/>
    <n v="114.84"/>
    <n v="507846.79"/>
    <n v="28906"/>
    <n v="3716"/>
    <n v="462736"/>
    <n v="64301.46"/>
    <n v="876"/>
  </r>
  <r>
    <x v="4"/>
    <s v="Cairo"/>
    <n v="2021"/>
    <n v="180956"/>
    <x v="5"/>
    <n v="2962.57"/>
    <n v="450"/>
    <n v="437.99"/>
    <n v="536094.81999999995"/>
    <n v="14486"/>
    <n v="2026"/>
    <n v="136694"/>
    <n v="129354.36"/>
    <n v="944"/>
  </r>
  <r>
    <x v="18"/>
    <s v="Johannesburg"/>
    <n v="2020"/>
    <n v="64031"/>
    <x v="6"/>
    <n v="3018.1"/>
    <n v="493"/>
    <n v="212.63"/>
    <n v="193251.96"/>
    <n v="37994"/>
    <n v="3459"/>
    <n v="514310"/>
    <n v="29767.82"/>
    <n v="2132"/>
  </r>
  <r>
    <x v="1"/>
    <s v="Mumbai"/>
    <n v="2020"/>
    <n v="116788"/>
    <x v="0"/>
    <n v="3813.08"/>
    <n v="319"/>
    <n v="340.14"/>
    <n v="445321.99"/>
    <n v="27523"/>
    <n v="3392"/>
    <n v="248303"/>
    <n v="36923.160000000003"/>
    <n v="1766"/>
  </r>
  <r>
    <x v="16"/>
    <s v="Toronto"/>
    <n v="2024"/>
    <n v="56901"/>
    <x v="0"/>
    <n v="1785.68"/>
    <n v="249"/>
    <n v="301.44"/>
    <n v="101606.98"/>
    <n v="30805"/>
    <n v="3453"/>
    <n v="922834"/>
    <n v="13652.94"/>
    <n v="407"/>
  </r>
  <r>
    <x v="2"/>
    <s v="Osaka"/>
    <n v="2021"/>
    <n v="178126"/>
    <x v="4"/>
    <n v="1481.93"/>
    <n v="432"/>
    <n v="168.46"/>
    <n v="263970.26"/>
    <n v="20916"/>
    <n v="775"/>
    <n v="331075"/>
    <n v="23232.59"/>
    <n v="3229"/>
  </r>
  <r>
    <x v="9"/>
    <s v="Athens"/>
    <n v="2024"/>
    <n v="153751"/>
    <x v="6"/>
    <n v="680.27"/>
    <n v="313"/>
    <n v="466.04"/>
    <n v="104592.19"/>
    <n v="6134"/>
    <n v="2020"/>
    <n v="287723"/>
    <n v="9269.2800000000007"/>
    <n v="970"/>
  </r>
  <r>
    <x v="17"/>
    <s v="Brisbane"/>
    <n v="2024"/>
    <n v="99649"/>
    <x v="4"/>
    <n v="4223.99"/>
    <n v="143"/>
    <n v="142"/>
    <n v="420916.38"/>
    <n v="18878"/>
    <n v="642"/>
    <n v="931864"/>
    <n v="102446.07"/>
    <n v="1948"/>
  </r>
  <r>
    <x v="7"/>
    <s v="Marseille"/>
    <n v="2023"/>
    <n v="81027"/>
    <x v="2"/>
    <n v="4983.79"/>
    <n v="380"/>
    <n v="252.07"/>
    <n v="403821.55"/>
    <n v="30864"/>
    <n v="2004"/>
    <n v="856124"/>
    <n v="81604.210000000006"/>
    <n v="3403"/>
  </r>
  <r>
    <x v="11"/>
    <s v="San Francisco"/>
    <n v="2020"/>
    <n v="102265"/>
    <x v="4"/>
    <n v="3878.46"/>
    <n v="322"/>
    <n v="144.85"/>
    <n v="396630.71"/>
    <n v="46692"/>
    <n v="923"/>
    <n v="864486"/>
    <n v="56111.92"/>
    <n v="5931"/>
  </r>
  <r>
    <x v="10"/>
    <s v="Berlin"/>
    <n v="2024"/>
    <n v="158464"/>
    <x v="5"/>
    <n v="2052.88"/>
    <n v="164"/>
    <n v="182.2"/>
    <n v="325307.58"/>
    <n v="39642"/>
    <n v="2542"/>
    <n v="631904"/>
    <n v="31905.35"/>
    <n v="7511"/>
  </r>
  <r>
    <x v="3"/>
    <s v="Manchester"/>
    <n v="2022"/>
    <n v="94757"/>
    <x v="4"/>
    <n v="1767.27"/>
    <n v="357"/>
    <n v="355.15"/>
    <n v="167461.20000000001"/>
    <n v="34648"/>
    <n v="3247"/>
    <n v="559421"/>
    <n v="20017.02"/>
    <n v="2061"/>
  </r>
  <r>
    <x v="17"/>
    <s v="Brisbane"/>
    <n v="2023"/>
    <n v="62497"/>
    <x v="6"/>
    <n v="2934.51"/>
    <n v="257"/>
    <n v="253.77"/>
    <n v="183398.07"/>
    <n v="25389"/>
    <n v="4732"/>
    <n v="880351"/>
    <n v="21684.53"/>
    <n v="5798"/>
  </r>
  <r>
    <x v="17"/>
    <s v="Brisbane"/>
    <n v="2022"/>
    <n v="116809"/>
    <x v="3"/>
    <n v="770.43"/>
    <n v="453"/>
    <n v="389.24"/>
    <n v="89993.16"/>
    <n v="49041"/>
    <n v="4747"/>
    <n v="157524"/>
    <n v="25682.54"/>
    <n v="6405"/>
  </r>
  <r>
    <x v="0"/>
    <s v="Florence"/>
    <n v="2021"/>
    <n v="68782"/>
    <x v="0"/>
    <n v="3908.59"/>
    <n v="225"/>
    <n v="360.98"/>
    <n v="268840.64"/>
    <n v="47229"/>
    <n v="4470"/>
    <n v="336073"/>
    <n v="71453.509999999995"/>
    <n v="2441"/>
  </r>
  <r>
    <x v="2"/>
    <s v="Osaka"/>
    <n v="2022"/>
    <n v="154188"/>
    <x v="5"/>
    <n v="1849.74"/>
    <n v="351"/>
    <n v="334.51"/>
    <n v="285207.71000000002"/>
    <n v="14175"/>
    <n v="2617"/>
    <n v="347584"/>
    <n v="29797.7"/>
    <n v="2873"/>
  </r>
  <r>
    <x v="3"/>
    <s v="Manchester"/>
    <n v="2022"/>
    <n v="95927"/>
    <x v="0"/>
    <n v="4542.74"/>
    <n v="394"/>
    <n v="474.2"/>
    <n v="435771.42"/>
    <n v="8783"/>
    <n v="4787"/>
    <n v="936788"/>
    <n v="30031.31"/>
    <n v="684"/>
  </r>
  <r>
    <x v="14"/>
    <s v="Phuket"/>
    <n v="2023"/>
    <n v="80266"/>
    <x v="6"/>
    <n v="3824.9"/>
    <n v="79"/>
    <n v="438.56"/>
    <n v="307009.42"/>
    <n v="44019"/>
    <n v="2125"/>
    <n v="847388"/>
    <n v="38096.620000000003"/>
    <n v="2604"/>
  </r>
  <r>
    <x v="1"/>
    <s v="Mumbai"/>
    <n v="2021"/>
    <n v="81417"/>
    <x v="1"/>
    <n v="2063.83"/>
    <n v="101"/>
    <n v="62.26"/>
    <n v="168030.85"/>
    <n v="26031"/>
    <n v="2932"/>
    <n v="791184"/>
    <n v="37334.879999999997"/>
    <n v="2128"/>
  </r>
  <r>
    <x v="9"/>
    <s v="Athens"/>
    <n v="2020"/>
    <n v="97111"/>
    <x v="6"/>
    <n v="733.04"/>
    <n v="190"/>
    <n v="88.11"/>
    <n v="71186.25"/>
    <n v="18136"/>
    <n v="3321"/>
    <n v="111602"/>
    <n v="10339.65"/>
    <n v="2562"/>
  </r>
  <r>
    <x v="8"/>
    <s v="Antalya"/>
    <n v="2024"/>
    <n v="59460"/>
    <x v="4"/>
    <n v="575.4"/>
    <n v="107"/>
    <n v="357.74"/>
    <n v="34213.279999999999"/>
    <n v="12384"/>
    <n v="3576"/>
    <n v="198441"/>
    <n v="3089.62"/>
    <n v="4721"/>
  </r>
  <r>
    <x v="19"/>
    <s v="Singapore City"/>
    <n v="2023"/>
    <n v="108829"/>
    <x v="4"/>
    <n v="2379.5"/>
    <n v="68"/>
    <n v="398.11"/>
    <n v="258958.61"/>
    <n v="20086"/>
    <n v="2966"/>
    <n v="797410"/>
    <n v="57058.49"/>
    <n v="6624"/>
  </r>
  <r>
    <x v="14"/>
    <s v="Bangkok"/>
    <n v="2022"/>
    <n v="176278"/>
    <x v="0"/>
    <n v="976.43"/>
    <n v="190"/>
    <n v="289.25"/>
    <n v="172123.13"/>
    <n v="14343"/>
    <n v="4407"/>
    <n v="804471"/>
    <n v="44205.62"/>
    <n v="2384"/>
  </r>
  <r>
    <x v="16"/>
    <s v="Vancouver"/>
    <n v="2021"/>
    <n v="186385"/>
    <x v="4"/>
    <n v="1541.21"/>
    <n v="220"/>
    <n v="168.05"/>
    <n v="287258.43"/>
    <n v="8558"/>
    <n v="4347"/>
    <n v="761238"/>
    <n v="80175.3"/>
    <n v="9773"/>
  </r>
  <r>
    <x v="3"/>
    <s v="Manchester"/>
    <n v="2024"/>
    <n v="77877"/>
    <x v="5"/>
    <n v="3548.47"/>
    <n v="109"/>
    <n v="249.76"/>
    <n v="276344.2"/>
    <n v="45317"/>
    <n v="952"/>
    <n v="60589"/>
    <n v="72171.839999999997"/>
    <n v="8579"/>
  </r>
  <r>
    <x v="18"/>
    <s v="Cape Town"/>
    <n v="2020"/>
    <n v="100599"/>
    <x v="6"/>
    <n v="1734.73"/>
    <n v="55"/>
    <n v="196.35"/>
    <n v="174512.1"/>
    <n v="41730"/>
    <n v="3677"/>
    <n v="184794"/>
    <n v="39121.040000000001"/>
    <n v="825"/>
  </r>
  <r>
    <x v="10"/>
    <s v="Frankfurt"/>
    <n v="2024"/>
    <n v="93461"/>
    <x v="3"/>
    <n v="1095.82"/>
    <n v="296"/>
    <n v="169.67"/>
    <n v="102416.43"/>
    <n v="32386"/>
    <n v="2623"/>
    <n v="402854"/>
    <n v="16155.78"/>
    <n v="224"/>
  </r>
  <r>
    <x v="1"/>
    <s v="Mumbai"/>
    <n v="2023"/>
    <n v="135166"/>
    <x v="3"/>
    <n v="2736.03"/>
    <n v="330"/>
    <n v="122.1"/>
    <n v="369818.23"/>
    <n v="36980"/>
    <n v="3596"/>
    <n v="444825"/>
    <n v="26268.9"/>
    <n v="9649"/>
  </r>
  <r>
    <x v="18"/>
    <s v="Johannesburg"/>
    <n v="2022"/>
    <n v="127154"/>
    <x v="3"/>
    <n v="1233.5899999999999"/>
    <n v="60"/>
    <n v="423.57"/>
    <n v="156855.9"/>
    <n v="45149"/>
    <n v="4292"/>
    <n v="178447"/>
    <n v="18733.259999999998"/>
    <n v="9075"/>
  </r>
  <r>
    <x v="16"/>
    <s v="Montreal"/>
    <n v="2020"/>
    <n v="100705"/>
    <x v="3"/>
    <n v="3790.21"/>
    <n v="490"/>
    <n v="404.32"/>
    <n v="381693.1"/>
    <n v="30006"/>
    <n v="2845"/>
    <n v="983963"/>
    <n v="73114.75"/>
    <n v="4786"/>
  </r>
  <r>
    <x v="10"/>
    <s v="Frankfurt"/>
    <n v="2021"/>
    <n v="82766"/>
    <x v="5"/>
    <n v="1093.8399999999999"/>
    <n v="112"/>
    <n v="72.760000000000005"/>
    <n v="90532.76"/>
    <n v="23443"/>
    <n v="4126"/>
    <n v="489358"/>
    <n v="9643.5300000000007"/>
    <n v="2943"/>
  </r>
  <r>
    <x v="5"/>
    <s v="Rio de Janeiro"/>
    <n v="2022"/>
    <n v="144837"/>
    <x v="3"/>
    <n v="4418.1000000000004"/>
    <n v="449"/>
    <n v="199.4"/>
    <n v="639904.35"/>
    <n v="6094"/>
    <n v="3695"/>
    <n v="280780"/>
    <n v="85491.41"/>
    <n v="4813"/>
  </r>
  <r>
    <x v="9"/>
    <s v="Santorini"/>
    <n v="2024"/>
    <n v="184164"/>
    <x v="5"/>
    <n v="3920.72"/>
    <n v="197"/>
    <n v="380.26"/>
    <n v="722055.48"/>
    <n v="9926"/>
    <n v="3465"/>
    <n v="381999"/>
    <n v="46334.38"/>
    <n v="9121"/>
  </r>
  <r>
    <x v="6"/>
    <s v="Abu Dhabi"/>
    <n v="2021"/>
    <n v="133829"/>
    <x v="2"/>
    <n v="4487.3900000000003"/>
    <n v="469"/>
    <n v="104.95"/>
    <n v="600542.92000000004"/>
    <n v="36730"/>
    <n v="3906"/>
    <n v="638216"/>
    <n v="111938.52"/>
    <n v="3848"/>
  </r>
  <r>
    <x v="19"/>
    <s v="Sentosa Island"/>
    <n v="2023"/>
    <n v="76553"/>
    <x v="1"/>
    <n v="4953.8999999999996"/>
    <n v="186"/>
    <n v="120.29"/>
    <n v="379235.91"/>
    <n v="15374"/>
    <n v="989"/>
    <n v="552237"/>
    <n v="91175.51"/>
    <n v="387"/>
  </r>
  <r>
    <x v="18"/>
    <s v="Cape Town"/>
    <n v="2022"/>
    <n v="72337"/>
    <x v="4"/>
    <n v="2508.9899999999998"/>
    <n v="322"/>
    <n v="275.32"/>
    <n v="181492.81"/>
    <n v="45975"/>
    <n v="744"/>
    <n v="820974"/>
    <n v="46429.18"/>
    <n v="8597"/>
  </r>
  <r>
    <x v="6"/>
    <s v="Dubai"/>
    <n v="2024"/>
    <n v="61984"/>
    <x v="6"/>
    <n v="4963.83"/>
    <n v="230"/>
    <n v="394.41"/>
    <n v="307678.03999999998"/>
    <n v="26889"/>
    <n v="1631"/>
    <n v="978274"/>
    <n v="90699.76"/>
    <n v="2637"/>
  </r>
  <r>
    <x v="4"/>
    <s v="Cairo"/>
    <n v="2023"/>
    <n v="65216"/>
    <x v="0"/>
    <n v="3946.23"/>
    <n v="231"/>
    <n v="243.08"/>
    <n v="257357.34"/>
    <n v="41635"/>
    <n v="943"/>
    <n v="869497"/>
    <n v="53101.19"/>
    <n v="1360"/>
  </r>
  <r>
    <x v="15"/>
    <s v="Puerto Vallarta"/>
    <n v="2024"/>
    <n v="136483"/>
    <x v="1"/>
    <n v="1010.48"/>
    <n v="209"/>
    <n v="265.33999999999997"/>
    <n v="137913.34"/>
    <n v="10543"/>
    <n v="2381"/>
    <n v="95256"/>
    <n v="34711.32"/>
    <n v="1509"/>
  </r>
  <r>
    <x v="7"/>
    <s v="Nice"/>
    <n v="2020"/>
    <n v="76270"/>
    <x v="3"/>
    <n v="2290.48"/>
    <n v="150"/>
    <n v="309.60000000000002"/>
    <n v="174694.91"/>
    <n v="7172"/>
    <n v="3464"/>
    <n v="299737"/>
    <n v="45412.83"/>
    <n v="6235"/>
  </r>
  <r>
    <x v="6"/>
    <s v="Abu Dhabi"/>
    <n v="2024"/>
    <n v="186645"/>
    <x v="2"/>
    <n v="1820.09"/>
    <n v="385"/>
    <n v="497.49"/>
    <n v="339710.7"/>
    <n v="7776"/>
    <n v="3488"/>
    <n v="865267"/>
    <n v="66345.11"/>
    <n v="5160"/>
  </r>
  <r>
    <x v="5"/>
    <s v="Rio de Janeiro"/>
    <n v="2020"/>
    <n v="180499"/>
    <x v="4"/>
    <n v="1074.99"/>
    <n v="255"/>
    <n v="377.95"/>
    <n v="194034.62"/>
    <n v="12148"/>
    <n v="2864"/>
    <n v="915990"/>
    <n v="49160.34"/>
    <n v="8040"/>
  </r>
  <r>
    <x v="5"/>
    <s v="Rio de Janeiro"/>
    <n v="2020"/>
    <n v="73382"/>
    <x v="4"/>
    <n v="4009.19"/>
    <n v="402"/>
    <n v="56.14"/>
    <n v="294202.38"/>
    <n v="18666"/>
    <n v="4678"/>
    <n v="153533"/>
    <n v="54449.46"/>
    <n v="425"/>
  </r>
  <r>
    <x v="16"/>
    <s v="Vancouver"/>
    <n v="2020"/>
    <n v="59726"/>
    <x v="3"/>
    <n v="2209.91"/>
    <n v="268"/>
    <n v="158.13"/>
    <n v="131989.07999999999"/>
    <n v="47230"/>
    <n v="4578"/>
    <n v="100519"/>
    <n v="9491.66"/>
    <n v="4066"/>
  </r>
  <r>
    <x v="1"/>
    <s v="Mumbai"/>
    <n v="2023"/>
    <n v="139524"/>
    <x v="1"/>
    <n v="2312.17"/>
    <n v="375"/>
    <n v="316.54000000000002"/>
    <n v="322603.21000000002"/>
    <n v="7994"/>
    <n v="3256"/>
    <n v="579882"/>
    <n v="62314.27"/>
    <n v="8054"/>
  </r>
  <r>
    <x v="1"/>
    <s v="Delhi"/>
    <n v="2023"/>
    <n v="155573"/>
    <x v="6"/>
    <n v="4011.57"/>
    <n v="490"/>
    <n v="178.04"/>
    <n v="624091.98"/>
    <n v="48059"/>
    <n v="4425"/>
    <n v="563066"/>
    <n v="50793.25"/>
    <n v="398"/>
  </r>
  <r>
    <x v="10"/>
    <s v="Munich"/>
    <n v="2022"/>
    <n v="106396"/>
    <x v="0"/>
    <n v="887.14"/>
    <n v="88"/>
    <n v="488.96"/>
    <n v="94388.15"/>
    <n v="17254"/>
    <n v="2302"/>
    <n v="388585"/>
    <n v="26724.7"/>
    <n v="2007"/>
  </r>
  <r>
    <x v="12"/>
    <s v="Madrid"/>
    <n v="2024"/>
    <n v="185909"/>
    <x v="4"/>
    <n v="1192.6400000000001"/>
    <n v="377"/>
    <n v="312.41000000000003"/>
    <n v="221722.51"/>
    <n v="23350"/>
    <n v="4862"/>
    <n v="138422"/>
    <n v="21614.400000000001"/>
    <n v="1752"/>
  </r>
  <r>
    <x v="4"/>
    <s v="Cairo"/>
    <n v="2022"/>
    <n v="168580"/>
    <x v="2"/>
    <n v="755.97"/>
    <n v="167"/>
    <n v="186.36"/>
    <n v="127441.42"/>
    <n v="48123"/>
    <n v="1598"/>
    <n v="695424"/>
    <n v="16160.81"/>
    <n v="3669"/>
  </r>
  <r>
    <x v="16"/>
    <s v="Vancouver"/>
    <n v="2023"/>
    <n v="90475"/>
    <x v="4"/>
    <n v="2055.31"/>
    <n v="78"/>
    <n v="202.69"/>
    <n v="185954.17"/>
    <n v="32405"/>
    <n v="1297"/>
    <n v="201899"/>
    <n v="30298.42"/>
    <n v="1046"/>
  </r>
  <r>
    <x v="15"/>
    <s v="Mexico City"/>
    <n v="2023"/>
    <n v="64693"/>
    <x v="0"/>
    <n v="3468.61"/>
    <n v="293"/>
    <n v="228.63"/>
    <n v="224394.79"/>
    <n v="16350"/>
    <n v="4090"/>
    <n v="409701"/>
    <n v="22307.040000000001"/>
    <n v="6206"/>
  </r>
  <r>
    <x v="12"/>
    <s v="Madrid"/>
    <n v="2023"/>
    <n v="95875"/>
    <x v="6"/>
    <n v="1231.42"/>
    <n v="53"/>
    <n v="380.46"/>
    <n v="118062.39"/>
    <n v="13693"/>
    <n v="2618"/>
    <n v="113965"/>
    <n v="8813.19"/>
    <n v="9047"/>
  </r>
  <r>
    <x v="0"/>
    <s v="Venice"/>
    <n v="2020"/>
    <n v="98785"/>
    <x v="3"/>
    <n v="4454.46"/>
    <n v="300"/>
    <n v="244.75"/>
    <n v="440033.83"/>
    <n v="35979"/>
    <n v="4122"/>
    <n v="545919"/>
    <n v="73696.36"/>
    <n v="5285"/>
  </r>
  <r>
    <x v="1"/>
    <s v="Mumbai"/>
    <n v="2021"/>
    <n v="166843"/>
    <x v="4"/>
    <n v="2119.0700000000002"/>
    <n v="304"/>
    <n v="473.4"/>
    <n v="353552"/>
    <n v="13448"/>
    <n v="2381"/>
    <n v="55209"/>
    <n v="81499.58"/>
    <n v="8033"/>
  </r>
  <r>
    <x v="0"/>
    <s v="Venice"/>
    <n v="2022"/>
    <n v="153780"/>
    <x v="1"/>
    <n v="4527.79"/>
    <n v="61"/>
    <n v="477.74"/>
    <n v="696283.55"/>
    <n v="13346"/>
    <n v="1769"/>
    <n v="885988"/>
    <n v="74274.42"/>
    <n v="5706"/>
  </r>
  <r>
    <x v="18"/>
    <s v="Johannesburg"/>
    <n v="2023"/>
    <n v="185028"/>
    <x v="2"/>
    <n v="1071.93"/>
    <n v="259"/>
    <n v="222.45"/>
    <n v="198337.06"/>
    <n v="43308"/>
    <n v="1390"/>
    <n v="521761"/>
    <n v="34884.86"/>
    <n v="9741"/>
  </r>
  <r>
    <x v="17"/>
    <s v="Melbourne"/>
    <n v="2022"/>
    <n v="105798"/>
    <x v="6"/>
    <n v="2363.63"/>
    <n v="447"/>
    <n v="124.08"/>
    <n v="250067.33"/>
    <n v="46183"/>
    <n v="2154"/>
    <n v="324864"/>
    <n v="24058.880000000001"/>
    <n v="8771"/>
  </r>
  <r>
    <x v="17"/>
    <s v="Melbourne"/>
    <n v="2024"/>
    <n v="127242"/>
    <x v="2"/>
    <n v="3499.35"/>
    <n v="462"/>
    <n v="55.55"/>
    <n v="445264.29"/>
    <n v="10506"/>
    <n v="2895"/>
    <n v="140140"/>
    <n v="27957.05"/>
    <n v="9195"/>
  </r>
  <r>
    <x v="11"/>
    <s v="Los Angeles"/>
    <n v="2024"/>
    <n v="93129"/>
    <x v="1"/>
    <n v="2775.64"/>
    <n v="94"/>
    <n v="298.98"/>
    <n v="258492.58"/>
    <n v="16279"/>
    <n v="4067"/>
    <n v="830296"/>
    <n v="74949.34"/>
    <n v="3596"/>
  </r>
  <r>
    <x v="6"/>
    <s v="Abu Dhabi"/>
    <n v="2022"/>
    <n v="94439"/>
    <x v="1"/>
    <n v="2530.37"/>
    <n v="257"/>
    <n v="428.97"/>
    <n v="238965.61"/>
    <n v="41824"/>
    <n v="4036"/>
    <n v="469515"/>
    <n v="42927.88"/>
    <n v="9742"/>
  </r>
  <r>
    <x v="10"/>
    <s v="Frankfurt"/>
    <n v="2021"/>
    <n v="102413"/>
    <x v="5"/>
    <n v="2996.29"/>
    <n v="493"/>
    <n v="126.44"/>
    <n v="306859.05"/>
    <n v="23610"/>
    <n v="4706"/>
    <n v="498648"/>
    <n v="17184.490000000002"/>
    <n v="8614"/>
  </r>
  <r>
    <x v="18"/>
    <s v="Johannesburg"/>
    <n v="2021"/>
    <n v="175849"/>
    <x v="6"/>
    <n v="3778.95"/>
    <n v="143"/>
    <n v="270.68"/>
    <n v="664524.57999999996"/>
    <n v="45644"/>
    <n v="1641"/>
    <n v="468641"/>
    <n v="145787.69"/>
    <n v="594"/>
  </r>
  <r>
    <x v="19"/>
    <s v="Singapore City"/>
    <n v="2023"/>
    <n v="145345"/>
    <x v="3"/>
    <n v="3413.56"/>
    <n v="358"/>
    <n v="359.28"/>
    <n v="496143.88"/>
    <n v="34709"/>
    <n v="1951"/>
    <n v="584231"/>
    <n v="75621.37"/>
    <n v="6319"/>
  </r>
  <r>
    <x v="14"/>
    <s v="Bangkok"/>
    <n v="2021"/>
    <n v="78379"/>
    <x v="0"/>
    <n v="3102.62"/>
    <n v="428"/>
    <n v="80.59"/>
    <n v="243180.25"/>
    <n v="10296"/>
    <n v="626"/>
    <n v="252210"/>
    <n v="53241.96"/>
    <n v="6783"/>
  </r>
  <r>
    <x v="14"/>
    <s v="Bangkok"/>
    <n v="2020"/>
    <n v="70923"/>
    <x v="4"/>
    <n v="549.85"/>
    <n v="263"/>
    <n v="445.82"/>
    <n v="38997.01"/>
    <n v="33756"/>
    <n v="2612"/>
    <n v="604629"/>
    <n v="8474.24"/>
    <n v="590"/>
  </r>
  <r>
    <x v="13"/>
    <s v="Shanghai"/>
    <n v="2021"/>
    <n v="53729"/>
    <x v="5"/>
    <n v="1226.56"/>
    <n v="456"/>
    <n v="191.75"/>
    <n v="65901.84"/>
    <n v="40755"/>
    <n v="1181"/>
    <n v="595926"/>
    <n v="12585.49"/>
    <n v="8066"/>
  </r>
  <r>
    <x v="2"/>
    <s v="Osaka"/>
    <n v="2024"/>
    <n v="118116"/>
    <x v="5"/>
    <n v="3245.49"/>
    <n v="392"/>
    <n v="192.79"/>
    <n v="383344.3"/>
    <n v="17021"/>
    <n v="3972"/>
    <n v="779115"/>
    <n v="46785.69"/>
    <n v="2697"/>
  </r>
  <r>
    <x v="10"/>
    <s v="Berlin"/>
    <n v="2023"/>
    <n v="50901"/>
    <x v="2"/>
    <n v="3131.73"/>
    <n v="422"/>
    <n v="262.24"/>
    <n v="159408.19"/>
    <n v="33311"/>
    <n v="1764"/>
    <n v="371395"/>
    <n v="28748.35"/>
    <n v="4703"/>
  </r>
  <r>
    <x v="8"/>
    <s v="Antalya"/>
    <n v="2020"/>
    <n v="177466"/>
    <x v="3"/>
    <n v="1922.35"/>
    <n v="456"/>
    <n v="243.35"/>
    <n v="341151.77"/>
    <n v="12349"/>
    <n v="2164"/>
    <n v="171897"/>
    <n v="39982.78"/>
    <n v="8336"/>
  </r>
  <r>
    <x v="5"/>
    <s v="Sao Paulo"/>
    <n v="2024"/>
    <n v="64175"/>
    <x v="0"/>
    <n v="1297.97"/>
    <n v="59"/>
    <n v="283.13"/>
    <n v="83297.22"/>
    <n v="28283"/>
    <n v="3147"/>
    <n v="764483"/>
    <n v="16760.22"/>
    <n v="6397"/>
  </r>
  <r>
    <x v="18"/>
    <s v="Cape Town"/>
    <n v="2021"/>
    <n v="108755"/>
    <x v="5"/>
    <n v="1997.51"/>
    <n v="118"/>
    <n v="256.33"/>
    <n v="217239.2"/>
    <n v="5787"/>
    <n v="1122"/>
    <n v="528977"/>
    <n v="11890.88"/>
    <n v="166"/>
  </r>
  <r>
    <x v="2"/>
    <s v="Osaka"/>
    <n v="2020"/>
    <n v="164159"/>
    <x v="5"/>
    <n v="757.03"/>
    <n v="316"/>
    <n v="149.29"/>
    <n v="124273.29"/>
    <n v="16772"/>
    <n v="1687"/>
    <n v="300231"/>
    <n v="17291.740000000002"/>
    <n v="671"/>
  </r>
  <r>
    <x v="19"/>
    <s v="Singapore City"/>
    <n v="2022"/>
    <n v="198246"/>
    <x v="6"/>
    <n v="4116.8999999999996"/>
    <n v="206"/>
    <n v="186.52"/>
    <n v="816158.96"/>
    <n v="5178"/>
    <n v="1234"/>
    <n v="72616"/>
    <n v="107846.87"/>
    <n v="831"/>
  </r>
  <r>
    <x v="9"/>
    <s v="Athens"/>
    <n v="2024"/>
    <n v="182201"/>
    <x v="4"/>
    <n v="2151.33"/>
    <n v="124"/>
    <n v="340.35"/>
    <n v="391974.48"/>
    <n v="30791"/>
    <n v="2350"/>
    <n v="559394"/>
    <n v="109901.16"/>
    <n v="1615"/>
  </r>
  <r>
    <x v="6"/>
    <s v="Abu Dhabi"/>
    <n v="2021"/>
    <n v="147206"/>
    <x v="3"/>
    <n v="1144.23"/>
    <n v="149"/>
    <n v="219.5"/>
    <n v="168437.52"/>
    <n v="36186"/>
    <n v="1667"/>
    <n v="435134"/>
    <n v="42631.15"/>
    <n v="9588"/>
  </r>
  <r>
    <x v="9"/>
    <s v="Athens"/>
    <n v="2023"/>
    <n v="60785"/>
    <x v="5"/>
    <n v="4603.18"/>
    <n v="183"/>
    <n v="357.14"/>
    <n v="279804.3"/>
    <n v="6462"/>
    <n v="2878"/>
    <n v="360809"/>
    <n v="35398.54"/>
    <n v="7190"/>
  </r>
  <r>
    <x v="4"/>
    <s v="Luxor"/>
    <n v="2020"/>
    <n v="165375"/>
    <x v="5"/>
    <n v="3480.41"/>
    <n v="377"/>
    <n v="442.06"/>
    <n v="575572.80000000005"/>
    <n v="37479"/>
    <n v="2144"/>
    <n v="938704"/>
    <n v="40572.949999999997"/>
    <n v="6480"/>
  </r>
  <r>
    <x v="17"/>
    <s v="Brisbane"/>
    <n v="2023"/>
    <n v="100906"/>
    <x v="4"/>
    <n v="896.68"/>
    <n v="172"/>
    <n v="426.4"/>
    <n v="90480.39"/>
    <n v="27388"/>
    <n v="3122"/>
    <n v="776499"/>
    <n v="11488.16"/>
    <n v="6246"/>
  </r>
  <r>
    <x v="15"/>
    <s v="Mexico City"/>
    <n v="2020"/>
    <n v="170494"/>
    <x v="4"/>
    <n v="4274.84"/>
    <n v="302"/>
    <n v="464.99"/>
    <n v="728834.57"/>
    <n v="35480"/>
    <n v="4199"/>
    <n v="228838"/>
    <n v="92252.42"/>
    <n v="4757"/>
  </r>
  <r>
    <x v="18"/>
    <s v="Cape Town"/>
    <n v="2022"/>
    <n v="171635"/>
    <x v="6"/>
    <n v="3628.34"/>
    <n v="410"/>
    <n v="109.53"/>
    <n v="622750.14"/>
    <n v="26991"/>
    <n v="2451"/>
    <n v="534607"/>
    <n v="115871.59"/>
    <n v="9180"/>
  </r>
  <r>
    <x v="4"/>
    <s v="Cairo"/>
    <n v="2020"/>
    <n v="164012"/>
    <x v="6"/>
    <n v="2482.9899999999998"/>
    <n v="464"/>
    <n v="104.85"/>
    <n v="407240.16"/>
    <n v="26029"/>
    <n v="4139"/>
    <n v="192429"/>
    <n v="63345.42"/>
    <n v="2781"/>
  </r>
  <r>
    <x v="19"/>
    <s v="Singapore City"/>
    <n v="2023"/>
    <n v="151503"/>
    <x v="5"/>
    <n v="2561.13"/>
    <n v="179"/>
    <n v="468.87"/>
    <n v="388018.88"/>
    <n v="11054"/>
    <n v="3140"/>
    <n v="603958"/>
    <n v="44583.69"/>
    <n v="6952"/>
  </r>
  <r>
    <x v="12"/>
    <s v="Seville"/>
    <n v="2023"/>
    <n v="116985"/>
    <x v="6"/>
    <n v="501.02"/>
    <n v="369"/>
    <n v="176.63"/>
    <n v="58611.82"/>
    <n v="40489"/>
    <n v="1945"/>
    <n v="879690"/>
    <n v="13539.76"/>
    <n v="3253"/>
  </r>
  <r>
    <x v="2"/>
    <s v="Tokyo"/>
    <n v="2020"/>
    <n v="73834"/>
    <x v="3"/>
    <n v="3295.99"/>
    <n v="154"/>
    <n v="387.22"/>
    <n v="243356.13"/>
    <n v="45635"/>
    <n v="3421"/>
    <n v="447783"/>
    <n v="36005.199999999997"/>
    <n v="394"/>
  </r>
  <r>
    <x v="16"/>
    <s v="Toronto"/>
    <n v="2022"/>
    <n v="87052"/>
    <x v="3"/>
    <n v="4376.51"/>
    <n v="335"/>
    <n v="400.12"/>
    <n v="380983.95"/>
    <n v="46785"/>
    <n v="2618"/>
    <n v="384071"/>
    <n v="72618.34"/>
    <n v="8343"/>
  </r>
  <r>
    <x v="10"/>
    <s v="Munich"/>
    <n v="2024"/>
    <n v="81601"/>
    <x v="4"/>
    <n v="3678.67"/>
    <n v="300"/>
    <n v="196.65"/>
    <n v="300183.15000000002"/>
    <n v="12465"/>
    <n v="3238"/>
    <n v="946197"/>
    <n v="77111.320000000007"/>
    <n v="4731"/>
  </r>
  <r>
    <x v="18"/>
    <s v="Johannesburg"/>
    <n v="2020"/>
    <n v="94462"/>
    <x v="3"/>
    <n v="2426.6999999999998"/>
    <n v="365"/>
    <n v="237.83"/>
    <n v="229230.94"/>
    <n v="27813"/>
    <n v="3783"/>
    <n v="68557"/>
    <n v="30382.04"/>
    <n v="3930"/>
  </r>
  <r>
    <x v="0"/>
    <s v="Rome"/>
    <n v="2022"/>
    <n v="91081"/>
    <x v="6"/>
    <n v="1941.81"/>
    <n v="159"/>
    <n v="462.11"/>
    <n v="176862"/>
    <n v="33610"/>
    <n v="2005"/>
    <n v="74354"/>
    <n v="10732.85"/>
    <n v="9188"/>
  </r>
  <r>
    <x v="8"/>
    <s v="Antalya"/>
    <n v="2021"/>
    <n v="105514"/>
    <x v="3"/>
    <n v="1125.51"/>
    <n v="103"/>
    <n v="55.95"/>
    <n v="118757.06"/>
    <n v="7895"/>
    <n v="4183"/>
    <n v="154127"/>
    <n v="30271.91"/>
    <n v="6066"/>
  </r>
  <r>
    <x v="17"/>
    <s v="Sydney"/>
    <n v="2024"/>
    <n v="59196"/>
    <x v="0"/>
    <n v="2950.5"/>
    <n v="196"/>
    <n v="365.42"/>
    <n v="174657.8"/>
    <n v="29700"/>
    <n v="3199"/>
    <n v="281237"/>
    <n v="26687.89"/>
    <n v="8181"/>
  </r>
  <r>
    <x v="13"/>
    <s v="Shanghai"/>
    <n v="2023"/>
    <n v="64380"/>
    <x v="3"/>
    <n v="4778.68"/>
    <n v="384"/>
    <n v="479.13"/>
    <n v="307651.42"/>
    <n v="11937"/>
    <n v="1047"/>
    <n v="650684"/>
    <n v="24290.85"/>
    <n v="5043"/>
  </r>
  <r>
    <x v="1"/>
    <s v="Delhi"/>
    <n v="2022"/>
    <n v="58997"/>
    <x v="0"/>
    <n v="3988.56"/>
    <n v="128"/>
    <n v="332.85"/>
    <n v="235313.07"/>
    <n v="40228"/>
    <n v="3228"/>
    <n v="766438"/>
    <n v="60354.33"/>
    <n v="3744"/>
  </r>
  <r>
    <x v="4"/>
    <s v="Cairo"/>
    <n v="2023"/>
    <n v="133123"/>
    <x v="6"/>
    <n v="2101.81"/>
    <n v="275"/>
    <n v="359.96"/>
    <n v="279799.25"/>
    <n v="12099"/>
    <n v="2621"/>
    <n v="967106"/>
    <n v="34967.74"/>
    <n v="766"/>
  </r>
  <r>
    <x v="3"/>
    <s v="Manchester"/>
    <n v="2024"/>
    <n v="132203"/>
    <x v="0"/>
    <n v="2610.6799999999998"/>
    <n v="179"/>
    <n v="220.2"/>
    <n v="345139.73"/>
    <n v="27641"/>
    <n v="4172"/>
    <n v="188454"/>
    <n v="23493.4"/>
    <n v="2323"/>
  </r>
  <r>
    <x v="5"/>
    <s v="Sao Paulo"/>
    <n v="2022"/>
    <n v="136442"/>
    <x v="1"/>
    <n v="1409.67"/>
    <n v="415"/>
    <n v="184.09"/>
    <n v="192338.19"/>
    <n v="36376"/>
    <n v="3701"/>
    <n v="284847"/>
    <n v="15543.21"/>
    <n v="2515"/>
  </r>
  <r>
    <x v="17"/>
    <s v="Sydney"/>
    <n v="2021"/>
    <n v="141229"/>
    <x v="1"/>
    <n v="3837.05"/>
    <n v="232"/>
    <n v="177.07"/>
    <n v="541902.73"/>
    <n v="30161"/>
    <n v="2821"/>
    <n v="522617"/>
    <n v="151257.13"/>
    <n v="9026"/>
  </r>
  <r>
    <x v="2"/>
    <s v="Osaka"/>
    <n v="2020"/>
    <n v="104675"/>
    <x v="5"/>
    <n v="3105.34"/>
    <n v="254"/>
    <n v="165.68"/>
    <n v="325051.46000000002"/>
    <n v="45718"/>
    <n v="2794"/>
    <n v="87394"/>
    <n v="55858.83"/>
    <n v="5699"/>
  </r>
  <r>
    <x v="17"/>
    <s v="Sydney"/>
    <n v="2024"/>
    <n v="199172"/>
    <x v="2"/>
    <n v="4627.49"/>
    <n v="466"/>
    <n v="243.89"/>
    <n v="921666.44"/>
    <n v="32454"/>
    <n v="1165"/>
    <n v="987314"/>
    <n v="228408.37"/>
    <n v="1312"/>
  </r>
  <r>
    <x v="7"/>
    <s v="Lyon"/>
    <n v="2022"/>
    <n v="106117"/>
    <x v="0"/>
    <n v="730.69"/>
    <n v="193"/>
    <n v="252.66"/>
    <n v="77538.63"/>
    <n v="8228"/>
    <n v="3705"/>
    <n v="349155"/>
    <n v="18403.2"/>
    <n v="4733"/>
  </r>
  <r>
    <x v="6"/>
    <s v="Dubai"/>
    <n v="2021"/>
    <n v="102344"/>
    <x v="1"/>
    <n v="1472.14"/>
    <n v="302"/>
    <n v="228.1"/>
    <n v="150664.70000000001"/>
    <n v="39305"/>
    <n v="3857"/>
    <n v="514432"/>
    <n v="27309.84"/>
    <n v="7167"/>
  </r>
  <r>
    <x v="19"/>
    <s v="Sentosa Island"/>
    <n v="2021"/>
    <n v="169779"/>
    <x v="3"/>
    <n v="599.39"/>
    <n v="254"/>
    <n v="348.49"/>
    <n v="101763.83"/>
    <n v="20613"/>
    <n v="1799"/>
    <n v="432650"/>
    <n v="17614.36"/>
    <n v="2821"/>
  </r>
  <r>
    <x v="3"/>
    <s v="London"/>
    <n v="2021"/>
    <n v="127355"/>
    <x v="4"/>
    <n v="807.98"/>
    <n v="327"/>
    <n v="98.67"/>
    <n v="102900.29"/>
    <n v="25659"/>
    <n v="3622"/>
    <n v="418615"/>
    <n v="27128.31"/>
    <n v="915"/>
  </r>
  <r>
    <x v="18"/>
    <s v="Cape Town"/>
    <n v="2020"/>
    <n v="110038"/>
    <x v="4"/>
    <n v="1318.18"/>
    <n v="427"/>
    <n v="382.94"/>
    <n v="145049.89000000001"/>
    <n v="31292"/>
    <n v="3842"/>
    <n v="764114"/>
    <n v="14930.92"/>
    <n v="8107"/>
  </r>
  <r>
    <x v="5"/>
    <s v="Sao Paulo"/>
    <n v="2021"/>
    <n v="84409"/>
    <x v="4"/>
    <n v="2459.2800000000002"/>
    <n v="63"/>
    <n v="363.29"/>
    <n v="207585.37"/>
    <n v="5363"/>
    <n v="1045"/>
    <n v="446456"/>
    <n v="15640.51"/>
    <n v="9162"/>
  </r>
  <r>
    <x v="4"/>
    <s v="Luxor"/>
    <n v="2024"/>
    <n v="175865"/>
    <x v="5"/>
    <n v="2208.8200000000002"/>
    <n v="181"/>
    <n v="312.20999999999998"/>
    <n v="388454.13"/>
    <n v="37786"/>
    <n v="829"/>
    <n v="755377"/>
    <n v="51313.38"/>
    <n v="2667"/>
  </r>
  <r>
    <x v="12"/>
    <s v="Seville"/>
    <n v="2020"/>
    <n v="197193"/>
    <x v="6"/>
    <n v="2836.91"/>
    <n v="261"/>
    <n v="165.87"/>
    <n v="559418.79"/>
    <n v="28331"/>
    <n v="2800"/>
    <n v="498013"/>
    <n v="132855.48000000001"/>
    <n v="7098"/>
  </r>
  <r>
    <x v="12"/>
    <s v="Barcelona"/>
    <n v="2021"/>
    <n v="63440"/>
    <x v="2"/>
    <n v="4263.87"/>
    <n v="135"/>
    <n v="201.35"/>
    <n v="270499.90999999997"/>
    <n v="20734"/>
    <n v="2180"/>
    <n v="844865"/>
    <n v="35476.68"/>
    <n v="6300"/>
  </r>
  <r>
    <x v="10"/>
    <s v="Berlin"/>
    <n v="2020"/>
    <n v="98570"/>
    <x v="2"/>
    <n v="3875.69"/>
    <n v="353"/>
    <n v="101.41"/>
    <n v="382026.76"/>
    <n v="22400"/>
    <n v="4365"/>
    <n v="861032"/>
    <n v="22583.61"/>
    <n v="2723"/>
  </r>
  <r>
    <x v="16"/>
    <s v="Toronto"/>
    <n v="2023"/>
    <n v="189718"/>
    <x v="4"/>
    <n v="4297.97"/>
    <n v="466"/>
    <n v="226.97"/>
    <n v="815402.27"/>
    <n v="25914"/>
    <n v="4997"/>
    <n v="699837"/>
    <n v="166590.68"/>
    <n v="8468"/>
  </r>
  <r>
    <x v="10"/>
    <s v="Berlin"/>
    <n v="2020"/>
    <n v="164826"/>
    <x v="0"/>
    <n v="3040.88"/>
    <n v="62"/>
    <n v="365.39"/>
    <n v="501216.09"/>
    <n v="21195"/>
    <n v="1453"/>
    <n v="944230"/>
    <n v="46332.32"/>
    <n v="4252"/>
  </r>
  <r>
    <x v="10"/>
    <s v="Berlin"/>
    <n v="2023"/>
    <n v="146367"/>
    <x v="5"/>
    <n v="2958.83"/>
    <n v="334"/>
    <n v="149.13999999999999"/>
    <n v="433075.07"/>
    <n v="7663"/>
    <n v="1773"/>
    <n v="315470"/>
    <n v="23389.1"/>
    <n v="5192"/>
  </r>
  <r>
    <x v="17"/>
    <s v="Brisbane"/>
    <n v="2022"/>
    <n v="95337"/>
    <x v="1"/>
    <n v="2056.36"/>
    <n v="303"/>
    <n v="394.86"/>
    <n v="196047.19"/>
    <n v="48790"/>
    <n v="3901"/>
    <n v="970396"/>
    <n v="25300.63"/>
    <n v="8546"/>
  </r>
  <r>
    <x v="7"/>
    <s v="Paris"/>
    <n v="2022"/>
    <n v="152127"/>
    <x v="1"/>
    <n v="2178.5"/>
    <n v="157"/>
    <n v="327.48"/>
    <n v="331408.67"/>
    <n v="25900"/>
    <n v="1508"/>
    <n v="201770"/>
    <n v="33638.449999999997"/>
    <n v="4811"/>
  </r>
  <r>
    <x v="7"/>
    <s v="Marseille"/>
    <n v="2021"/>
    <n v="106116"/>
    <x v="5"/>
    <n v="539.5"/>
    <n v="305"/>
    <n v="448.36"/>
    <n v="57249.58"/>
    <n v="31331"/>
    <n v="4408"/>
    <n v="667397"/>
    <n v="11753.14"/>
    <n v="2765"/>
  </r>
  <r>
    <x v="16"/>
    <s v="Toronto"/>
    <n v="2021"/>
    <n v="133308"/>
    <x v="5"/>
    <n v="2135.3200000000002"/>
    <n v="373"/>
    <n v="332.83"/>
    <n v="284655.24"/>
    <n v="33742"/>
    <n v="1723"/>
    <n v="397236"/>
    <n v="28807.279999999999"/>
    <n v="3766"/>
  </r>
  <r>
    <x v="17"/>
    <s v="Brisbane"/>
    <n v="2021"/>
    <n v="87045"/>
    <x v="5"/>
    <n v="1870.21"/>
    <n v="451"/>
    <n v="71.150000000000006"/>
    <n v="162792.43"/>
    <n v="34475"/>
    <n v="3519"/>
    <n v="53681"/>
    <n v="25824.21"/>
    <n v="8517"/>
  </r>
  <r>
    <x v="3"/>
    <s v="London"/>
    <n v="2023"/>
    <n v="168888"/>
    <x v="2"/>
    <n v="2701.52"/>
    <n v="483"/>
    <n v="384.07"/>
    <n v="456254.31"/>
    <n v="41175"/>
    <n v="3640"/>
    <n v="829105"/>
    <n v="41977.68"/>
    <n v="8198"/>
  </r>
  <r>
    <x v="16"/>
    <s v="Montreal"/>
    <n v="2022"/>
    <n v="78333"/>
    <x v="2"/>
    <n v="1182.8399999999999"/>
    <n v="343"/>
    <n v="408.05"/>
    <n v="92655.41"/>
    <n v="13624"/>
    <n v="1335"/>
    <n v="330790"/>
    <n v="20655.669999999998"/>
    <n v="5387"/>
  </r>
  <r>
    <x v="11"/>
    <s v="New York"/>
    <n v="2023"/>
    <n v="141186"/>
    <x v="5"/>
    <n v="4355.76"/>
    <n v="129"/>
    <n v="291.27"/>
    <n v="614972.32999999996"/>
    <n v="10580"/>
    <n v="3991"/>
    <n v="443922"/>
    <n v="43543.59"/>
    <n v="1434"/>
  </r>
  <r>
    <x v="14"/>
    <s v="Phuket"/>
    <n v="2020"/>
    <n v="137508"/>
    <x v="3"/>
    <n v="4449.87"/>
    <n v="392"/>
    <n v="121.3"/>
    <n v="611892.72"/>
    <n v="49115"/>
    <n v="664"/>
    <n v="417508"/>
    <n v="102401.29"/>
    <n v="4257"/>
  </r>
  <r>
    <x v="15"/>
    <s v="Mexico City"/>
    <n v="2023"/>
    <n v="77043"/>
    <x v="6"/>
    <n v="4010.22"/>
    <n v="56"/>
    <n v="54.29"/>
    <n v="308959.38"/>
    <n v="19017"/>
    <n v="3539"/>
    <n v="578425"/>
    <n v="19501.650000000001"/>
    <n v="2838"/>
  </r>
  <r>
    <x v="15"/>
    <s v="Puerto Vallarta"/>
    <n v="2024"/>
    <n v="73956"/>
    <x v="5"/>
    <n v="3742.06"/>
    <n v="134"/>
    <n v="394.64"/>
    <n v="276747.78999999998"/>
    <n v="25528"/>
    <n v="4664"/>
    <n v="741257"/>
    <n v="46197.55"/>
    <n v="3655"/>
  </r>
  <r>
    <x v="18"/>
    <s v="Cape Town"/>
    <n v="2020"/>
    <n v="115184"/>
    <x v="1"/>
    <n v="3242.78"/>
    <n v="92"/>
    <n v="290.99"/>
    <n v="373516.37"/>
    <n v="43265"/>
    <n v="761"/>
    <n v="797320"/>
    <n v="50034.05"/>
    <n v="9274"/>
  </r>
  <r>
    <x v="11"/>
    <s v="Las Vegas"/>
    <n v="2023"/>
    <n v="184515"/>
    <x v="0"/>
    <n v="1754.12"/>
    <n v="169"/>
    <n v="262.51"/>
    <n v="323661.45"/>
    <n v="19254"/>
    <n v="4614"/>
    <n v="837839"/>
    <n v="63731.12"/>
    <n v="9468"/>
  </r>
  <r>
    <x v="3"/>
    <s v="Manchester"/>
    <n v="2022"/>
    <n v="169020"/>
    <x v="5"/>
    <n v="1664.57"/>
    <n v="158"/>
    <n v="441.36"/>
    <n v="281345.62"/>
    <n v="29502"/>
    <n v="872"/>
    <n v="278300"/>
    <n v="69927.210000000006"/>
    <n v="8994"/>
  </r>
  <r>
    <x v="3"/>
    <s v="Manchester"/>
    <n v="2024"/>
    <n v="168313"/>
    <x v="5"/>
    <n v="2918.93"/>
    <n v="480"/>
    <n v="290.36"/>
    <n v="491293.87"/>
    <n v="36331"/>
    <n v="1257"/>
    <n v="626250"/>
    <n v="132970.57999999999"/>
    <n v="7937"/>
  </r>
  <r>
    <x v="7"/>
    <s v="Marseille"/>
    <n v="2021"/>
    <n v="175212"/>
    <x v="4"/>
    <n v="2947.04"/>
    <n v="195"/>
    <n v="90.75"/>
    <n v="516356.77"/>
    <n v="22106"/>
    <n v="1028"/>
    <n v="218733"/>
    <n v="47822.71"/>
    <n v="1019"/>
  </r>
  <r>
    <x v="19"/>
    <s v="Singapore City"/>
    <n v="2024"/>
    <n v="170507"/>
    <x v="2"/>
    <n v="3094.2"/>
    <n v="125"/>
    <n v="367.47"/>
    <n v="527582.76"/>
    <n v="24156"/>
    <n v="2045"/>
    <n v="509822"/>
    <n v="50833.77"/>
    <n v="7294"/>
  </r>
  <r>
    <x v="8"/>
    <s v="Antalya"/>
    <n v="2022"/>
    <n v="171361"/>
    <x v="3"/>
    <n v="4426.34"/>
    <n v="121"/>
    <n v="312.39999999999998"/>
    <n v="758502.05"/>
    <n v="26665"/>
    <n v="1925"/>
    <n v="328011"/>
    <n v="112728.46"/>
    <n v="2694"/>
  </r>
  <r>
    <x v="19"/>
    <s v="Sentosa Island"/>
    <n v="2024"/>
    <n v="101588"/>
    <x v="5"/>
    <n v="3605.55"/>
    <n v="497"/>
    <n v="249.55"/>
    <n v="366280.61"/>
    <n v="23625"/>
    <n v="1673"/>
    <n v="782318"/>
    <n v="85752.99"/>
    <n v="9450"/>
  </r>
  <r>
    <x v="12"/>
    <s v="Madrid"/>
    <n v="2020"/>
    <n v="137736"/>
    <x v="3"/>
    <n v="4768.34"/>
    <n v="347"/>
    <n v="189.26"/>
    <n v="656772.07999999996"/>
    <n v="26387"/>
    <n v="2564"/>
    <n v="677907"/>
    <n v="33283.26"/>
    <n v="809"/>
  </r>
  <r>
    <x v="19"/>
    <s v="Singapore City"/>
    <n v="2020"/>
    <n v="164161"/>
    <x v="4"/>
    <n v="3828.12"/>
    <n v="93"/>
    <n v="359.24"/>
    <n v="628428.01"/>
    <n v="25805"/>
    <n v="2761"/>
    <n v="664229"/>
    <n v="42837.67"/>
    <n v="5595"/>
  </r>
  <r>
    <x v="14"/>
    <s v="Chiang Mai"/>
    <n v="2021"/>
    <n v="78481"/>
    <x v="5"/>
    <n v="1803.78"/>
    <n v="183"/>
    <n v="392.15"/>
    <n v="141562.46"/>
    <n v="31569"/>
    <n v="3270"/>
    <n v="734308"/>
    <n v="41635.519999999997"/>
    <n v="9483"/>
  </r>
  <r>
    <x v="1"/>
    <s v="Mumbai"/>
    <n v="2024"/>
    <n v="91269"/>
    <x v="1"/>
    <n v="1705.07"/>
    <n v="373"/>
    <n v="385.97"/>
    <n v="155620.03"/>
    <n v="38932"/>
    <n v="2267"/>
    <n v="541874"/>
    <n v="46411.47"/>
    <n v="2681"/>
  </r>
  <r>
    <x v="12"/>
    <s v="Barcelona"/>
    <n v="2020"/>
    <n v="125118"/>
    <x v="5"/>
    <n v="4379.95"/>
    <n v="445"/>
    <n v="377.16"/>
    <n v="548010.57999999996"/>
    <n v="19419"/>
    <n v="1536"/>
    <n v="322168"/>
    <n v="105352.73"/>
    <n v="4057"/>
  </r>
  <r>
    <x v="10"/>
    <s v="Munich"/>
    <n v="2022"/>
    <n v="184479"/>
    <x v="2"/>
    <n v="509.34"/>
    <n v="267"/>
    <n v="310.69"/>
    <n v="93962.53"/>
    <n v="40654"/>
    <n v="2429"/>
    <n v="611001"/>
    <n v="15142.71"/>
    <n v="1193"/>
  </r>
  <r>
    <x v="15"/>
    <s v="Cancun"/>
    <n v="2022"/>
    <n v="53880"/>
    <x v="1"/>
    <n v="3436.14"/>
    <n v="458"/>
    <n v="299.29000000000002"/>
    <n v="185139.22"/>
    <n v="48333"/>
    <n v="1593"/>
    <n v="231413"/>
    <n v="44792.800000000003"/>
    <n v="8340"/>
  </r>
  <r>
    <x v="8"/>
    <s v="Antalya"/>
    <n v="2021"/>
    <n v="96705"/>
    <x v="4"/>
    <n v="654.70000000000005"/>
    <n v="422"/>
    <n v="439.78"/>
    <n v="63312.76"/>
    <n v="49786"/>
    <n v="3197"/>
    <n v="997790"/>
    <n v="14113.1"/>
    <n v="262"/>
  </r>
  <r>
    <x v="10"/>
    <s v="Munich"/>
    <n v="2024"/>
    <n v="123313"/>
    <x v="5"/>
    <n v="2876.85"/>
    <n v="364"/>
    <n v="459.8"/>
    <n v="354753"/>
    <n v="18403"/>
    <n v="3207"/>
    <n v="385639"/>
    <n v="45740.38"/>
    <n v="9874"/>
  </r>
  <r>
    <x v="0"/>
    <s v="Florence"/>
    <n v="2021"/>
    <n v="155185"/>
    <x v="1"/>
    <n v="2542.67"/>
    <n v="196"/>
    <n v="381.16"/>
    <n v="394584.24"/>
    <n v="33853"/>
    <n v="2726"/>
    <n v="538195"/>
    <n v="97570.43"/>
    <n v="5422"/>
  </r>
  <r>
    <x v="4"/>
    <s v="Cairo"/>
    <n v="2022"/>
    <n v="109412"/>
    <x v="5"/>
    <n v="2065.02"/>
    <n v="213"/>
    <n v="419.83"/>
    <n v="225937.97"/>
    <n v="42201"/>
    <n v="946"/>
    <n v="806322"/>
    <n v="25705.72"/>
    <n v="1174"/>
  </r>
  <r>
    <x v="13"/>
    <s v="Beijing"/>
    <n v="2020"/>
    <n v="193233"/>
    <x v="6"/>
    <n v="3656.75"/>
    <n v="118"/>
    <n v="436.25"/>
    <n v="706604.77"/>
    <n v="6211"/>
    <n v="3685"/>
    <n v="606107"/>
    <n v="199877.11"/>
    <n v="9297"/>
  </r>
  <r>
    <x v="5"/>
    <s v="Sao Paulo"/>
    <n v="2023"/>
    <n v="121356"/>
    <x v="0"/>
    <n v="3647.9"/>
    <n v="75"/>
    <n v="192.05"/>
    <n v="442694.55"/>
    <n v="35461"/>
    <n v="1780"/>
    <n v="905695"/>
    <n v="118387.13"/>
    <n v="248"/>
  </r>
  <r>
    <x v="10"/>
    <s v="Munich"/>
    <n v="2020"/>
    <n v="172689"/>
    <x v="2"/>
    <n v="4195.67"/>
    <n v="407"/>
    <n v="427.48"/>
    <n v="724546.06"/>
    <n v="9551"/>
    <n v="3770"/>
    <n v="523919"/>
    <n v="82282.92"/>
    <n v="2411"/>
  </r>
  <r>
    <x v="11"/>
    <s v="San Francisco"/>
    <n v="2023"/>
    <n v="99756"/>
    <x v="1"/>
    <n v="911.09"/>
    <n v="334"/>
    <n v="377.35"/>
    <n v="90886.69"/>
    <n v="17067"/>
    <n v="3433"/>
    <n v="157044"/>
    <n v="17900.099999999999"/>
    <n v="4873"/>
  </r>
  <r>
    <x v="0"/>
    <s v="Rome"/>
    <n v="2020"/>
    <n v="193518"/>
    <x v="2"/>
    <n v="1970.33"/>
    <n v="140"/>
    <n v="173.4"/>
    <n v="381294.32"/>
    <n v="22948"/>
    <n v="3791"/>
    <n v="241303"/>
    <n v="83430.14"/>
    <n v="3985"/>
  </r>
  <r>
    <x v="8"/>
    <s v="Antalya"/>
    <n v="2023"/>
    <n v="167569"/>
    <x v="1"/>
    <n v="4363.7"/>
    <n v="379"/>
    <n v="280.77999999999997"/>
    <n v="731220.85"/>
    <n v="42528"/>
    <n v="566"/>
    <n v="932693"/>
    <n v="149586.76999999999"/>
    <n v="2351"/>
  </r>
  <r>
    <x v="5"/>
    <s v="Sao Paulo"/>
    <n v="2023"/>
    <n v="149108"/>
    <x v="5"/>
    <n v="4776.38"/>
    <n v="498"/>
    <n v="191.37"/>
    <n v="712196.47"/>
    <n v="43784"/>
    <n v="4049"/>
    <n v="914360"/>
    <n v="162420"/>
    <n v="8189"/>
  </r>
  <r>
    <x v="13"/>
    <s v="Shanghai"/>
    <n v="2024"/>
    <n v="109902"/>
    <x v="2"/>
    <n v="4892.3900000000003"/>
    <n v="65"/>
    <n v="389.17"/>
    <n v="537683.44999999995"/>
    <n v="35962"/>
    <n v="1794"/>
    <n v="392776"/>
    <n v="138815.57999999999"/>
    <n v="2541"/>
  </r>
  <r>
    <x v="8"/>
    <s v="Istanbul"/>
    <n v="2021"/>
    <n v="67482"/>
    <x v="1"/>
    <n v="1826.68"/>
    <n v="264"/>
    <n v="424.87"/>
    <n v="123268.02"/>
    <n v="33930"/>
    <n v="2596"/>
    <n v="323945"/>
    <n v="35356.35"/>
    <n v="8967"/>
  </r>
  <r>
    <x v="16"/>
    <s v="Toronto"/>
    <n v="2021"/>
    <n v="55147"/>
    <x v="2"/>
    <n v="2610.77"/>
    <n v="335"/>
    <n v="91.86"/>
    <n v="143976.13"/>
    <n v="39808"/>
    <n v="2115"/>
    <n v="445065"/>
    <n v="11058.17"/>
    <n v="5895"/>
  </r>
  <r>
    <x v="18"/>
    <s v="Cape Town"/>
    <n v="2024"/>
    <n v="158835"/>
    <x v="4"/>
    <n v="1242.2"/>
    <n v="451"/>
    <n v="291.77"/>
    <n v="197304.84"/>
    <n v="6044"/>
    <n v="2082"/>
    <n v="857733"/>
    <n v="31124.04"/>
    <n v="6804"/>
  </r>
  <r>
    <x v="5"/>
    <s v="Rio de Janeiro"/>
    <n v="2021"/>
    <n v="105809"/>
    <x v="3"/>
    <n v="3534.32"/>
    <n v="148"/>
    <n v="151.82"/>
    <n v="373962.86"/>
    <n v="11073"/>
    <n v="2503"/>
    <n v="575825"/>
    <n v="91686.28"/>
    <n v="5610"/>
  </r>
  <r>
    <x v="11"/>
    <s v="Miami"/>
    <n v="2020"/>
    <n v="139846"/>
    <x v="4"/>
    <n v="3080.44"/>
    <n v="81"/>
    <n v="473.34"/>
    <n v="430787.21"/>
    <n v="35544"/>
    <n v="861"/>
    <n v="594392"/>
    <n v="72595.86"/>
    <n v="7381"/>
  </r>
  <r>
    <x v="13"/>
    <s v="Guangzhou"/>
    <n v="2022"/>
    <n v="98270"/>
    <x v="2"/>
    <n v="4061.13"/>
    <n v="309"/>
    <n v="332.04"/>
    <n v="399087.25"/>
    <n v="43328"/>
    <n v="3802"/>
    <n v="771615"/>
    <n v="117711.14"/>
    <n v="9847"/>
  </r>
  <r>
    <x v="2"/>
    <s v="Kyoto"/>
    <n v="2021"/>
    <n v="152511"/>
    <x v="0"/>
    <n v="1451.44"/>
    <n v="402"/>
    <n v="484.45"/>
    <n v="221360.57"/>
    <n v="42383"/>
    <n v="2424"/>
    <n v="65733"/>
    <n v="30122.080000000002"/>
    <n v="2261"/>
  </r>
  <r>
    <x v="7"/>
    <s v="Lyon"/>
    <n v="2021"/>
    <n v="136489"/>
    <x v="3"/>
    <n v="897.79"/>
    <n v="111"/>
    <n v="238.52"/>
    <n v="122538.46"/>
    <n v="26059"/>
    <n v="1664"/>
    <n v="458294"/>
    <n v="31273.32"/>
    <n v="6819"/>
  </r>
  <r>
    <x v="0"/>
    <s v="Florence"/>
    <n v="2021"/>
    <n v="131899"/>
    <x v="2"/>
    <n v="1596.69"/>
    <n v="118"/>
    <n v="250.65"/>
    <n v="210601.81"/>
    <n v="5767"/>
    <n v="3954"/>
    <n v="617256"/>
    <n v="36857.1"/>
    <n v="9830"/>
  </r>
  <r>
    <x v="4"/>
    <s v="Luxor"/>
    <n v="2021"/>
    <n v="121805"/>
    <x v="1"/>
    <n v="2051.46"/>
    <n v="354"/>
    <n v="448.97"/>
    <n v="249878.09"/>
    <n v="39800"/>
    <n v="3070"/>
    <n v="633526"/>
    <n v="22140.18"/>
    <n v="7966"/>
  </r>
  <r>
    <x v="17"/>
    <s v="Brisbane"/>
    <n v="2021"/>
    <n v="183085"/>
    <x v="3"/>
    <n v="3812.16"/>
    <n v="313"/>
    <n v="446.89"/>
    <n v="697949.31"/>
    <n v="40694"/>
    <n v="4876"/>
    <n v="190562"/>
    <n v="167919.84"/>
    <n v="2173"/>
  </r>
  <r>
    <x v="17"/>
    <s v="Brisbane"/>
    <n v="2022"/>
    <n v="99853"/>
    <x v="3"/>
    <n v="1398.33"/>
    <n v="237"/>
    <n v="373.13"/>
    <n v="139627.45000000001"/>
    <n v="29530"/>
    <n v="866"/>
    <n v="386399"/>
    <n v="27521.66"/>
    <n v="7956"/>
  </r>
  <r>
    <x v="9"/>
    <s v="Athens"/>
    <n v="2020"/>
    <n v="80988"/>
    <x v="0"/>
    <n v="2935.57"/>
    <n v="67"/>
    <n v="141.91999999999999"/>
    <n v="237745.94"/>
    <n v="13989"/>
    <n v="4288"/>
    <n v="220534"/>
    <n v="38128.74"/>
    <n v="777"/>
  </r>
  <r>
    <x v="0"/>
    <s v="Rome"/>
    <n v="2022"/>
    <n v="115641"/>
    <x v="2"/>
    <n v="3138.06"/>
    <n v="379"/>
    <n v="86.76"/>
    <n v="362888.4"/>
    <n v="24641"/>
    <n v="2061"/>
    <n v="463606"/>
    <n v="75942.19"/>
    <n v="700"/>
  </r>
  <r>
    <x v="12"/>
    <s v="Seville"/>
    <n v="2021"/>
    <n v="175580"/>
    <x v="2"/>
    <n v="1317.34"/>
    <n v="58"/>
    <n v="124.05"/>
    <n v="231298.56"/>
    <n v="30473"/>
    <n v="725"/>
    <n v="980866"/>
    <n v="18806.310000000001"/>
    <n v="8995"/>
  </r>
  <r>
    <x v="4"/>
    <s v="Luxor"/>
    <n v="2022"/>
    <n v="120246"/>
    <x v="3"/>
    <n v="4829.96"/>
    <n v="170"/>
    <n v="372.9"/>
    <n v="580783.37"/>
    <n v="25608"/>
    <n v="2576"/>
    <n v="630305"/>
    <n v="102966.79"/>
    <n v="9721"/>
  </r>
  <r>
    <x v="0"/>
    <s v="Florence"/>
    <n v="2020"/>
    <n v="83123"/>
    <x v="0"/>
    <n v="4102.41"/>
    <n v="192"/>
    <n v="235.01"/>
    <n v="341004.63"/>
    <n v="7024"/>
    <n v="2365"/>
    <n v="570112"/>
    <n v="46169.5"/>
    <n v="2006"/>
  </r>
  <r>
    <x v="2"/>
    <s v="Kyoto"/>
    <n v="2024"/>
    <n v="57961"/>
    <x v="5"/>
    <n v="3425.51"/>
    <n v="353"/>
    <n v="70.19"/>
    <n v="198545.99"/>
    <n v="20682"/>
    <n v="4485"/>
    <n v="362712"/>
    <n v="16579.830000000002"/>
    <n v="3171"/>
  </r>
  <r>
    <x v="13"/>
    <s v="Guangzhou"/>
    <n v="2024"/>
    <n v="66939"/>
    <x v="3"/>
    <n v="4538.8999999999996"/>
    <n v="217"/>
    <n v="203.66"/>
    <n v="303829.43"/>
    <n v="18186"/>
    <n v="3819"/>
    <n v="199805"/>
    <n v="79765.31"/>
    <n v="5157"/>
  </r>
  <r>
    <x v="16"/>
    <s v="Montreal"/>
    <n v="2023"/>
    <n v="152302"/>
    <x v="5"/>
    <n v="3403.18"/>
    <n v="269"/>
    <n v="291.41000000000003"/>
    <n v="518311.12"/>
    <n v="29074"/>
    <n v="4571"/>
    <n v="943544"/>
    <n v="32331.29"/>
    <n v="440"/>
  </r>
  <r>
    <x v="19"/>
    <s v="Sentosa Island"/>
    <n v="2020"/>
    <n v="175788"/>
    <x v="1"/>
    <n v="4181.66"/>
    <n v="74"/>
    <n v="276.45"/>
    <n v="735085.65"/>
    <n v="14241"/>
    <n v="3284"/>
    <n v="688464"/>
    <n v="197075.46"/>
    <n v="6575"/>
  </r>
  <r>
    <x v="13"/>
    <s v="Shanghai"/>
    <n v="2024"/>
    <n v="143789"/>
    <x v="1"/>
    <n v="3320.75"/>
    <n v="224"/>
    <n v="103.75"/>
    <n v="477487.32"/>
    <n v="21251"/>
    <n v="1938"/>
    <n v="577831"/>
    <n v="127304.22"/>
    <n v="7127"/>
  </r>
  <r>
    <x v="14"/>
    <s v="Phuket"/>
    <n v="2023"/>
    <n v="115867"/>
    <x v="0"/>
    <n v="502.82"/>
    <n v="305"/>
    <n v="90.82"/>
    <n v="58260.24"/>
    <n v="5727"/>
    <n v="3743"/>
    <n v="415543"/>
    <n v="4386.5"/>
    <n v="9095"/>
  </r>
  <r>
    <x v="17"/>
    <s v="Melbourne"/>
    <n v="2024"/>
    <n v="144192"/>
    <x v="4"/>
    <n v="1560.57"/>
    <n v="329"/>
    <n v="411.01"/>
    <n v="225021.71"/>
    <n v="25625"/>
    <n v="3661"/>
    <n v="374036"/>
    <n v="35302.639999999999"/>
    <n v="8724"/>
  </r>
  <r>
    <x v="10"/>
    <s v="Frankfurt"/>
    <n v="2023"/>
    <n v="98928"/>
    <x v="0"/>
    <n v="4712.7299999999996"/>
    <n v="235"/>
    <n v="291.06"/>
    <n v="466220.95"/>
    <n v="48795"/>
    <n v="3013"/>
    <n v="385510"/>
    <n v="29772.05"/>
    <n v="9846"/>
  </r>
  <r>
    <x v="14"/>
    <s v="Bangkok"/>
    <n v="2021"/>
    <n v="144533"/>
    <x v="0"/>
    <n v="2689.17"/>
    <n v="245"/>
    <n v="490.25"/>
    <n v="388673.81"/>
    <n v="25823"/>
    <n v="1358"/>
    <n v="514271"/>
    <n v="64196.55"/>
    <n v="1547"/>
  </r>
  <r>
    <x v="1"/>
    <s v="Delhi"/>
    <n v="2024"/>
    <n v="183922"/>
    <x v="0"/>
    <n v="4844.83"/>
    <n v="322"/>
    <n v="133"/>
    <n v="891070.82"/>
    <n v="20493"/>
    <n v="2951"/>
    <n v="279016"/>
    <n v="202561.81"/>
    <n v="7834"/>
  </r>
  <r>
    <x v="10"/>
    <s v="Frankfurt"/>
    <n v="2020"/>
    <n v="120400"/>
    <x v="4"/>
    <n v="4626.8500000000004"/>
    <n v="286"/>
    <n v="433.64"/>
    <n v="557072.74"/>
    <n v="36225"/>
    <n v="1266"/>
    <n v="167369"/>
    <n v="54173.33"/>
    <n v="3613"/>
  </r>
  <r>
    <x v="16"/>
    <s v="Montreal"/>
    <n v="2024"/>
    <n v="194407"/>
    <x v="6"/>
    <n v="4894.2"/>
    <n v="337"/>
    <n v="65.59"/>
    <n v="951466.74"/>
    <n v="32684"/>
    <n v="3055"/>
    <n v="924722"/>
    <n v="110619.26"/>
    <n v="3014"/>
  </r>
  <r>
    <x v="5"/>
    <s v="Rio de Janeiro"/>
    <n v="2023"/>
    <n v="161850"/>
    <x v="6"/>
    <n v="4110.2299999999996"/>
    <n v="149"/>
    <n v="377.39"/>
    <n v="665240.73"/>
    <n v="21779"/>
    <n v="1438"/>
    <n v="175604"/>
    <n v="123013.29"/>
    <n v="8505"/>
  </r>
  <r>
    <x v="18"/>
    <s v="Johannesburg"/>
    <n v="2021"/>
    <n v="163457"/>
    <x v="2"/>
    <n v="4322.59"/>
    <n v="461"/>
    <n v="212.75"/>
    <n v="706557.59"/>
    <n v="13314"/>
    <n v="1662"/>
    <n v="913460"/>
    <n v="52152.59"/>
    <n v="9226"/>
  </r>
  <r>
    <x v="14"/>
    <s v="Bangkok"/>
    <n v="2021"/>
    <n v="178411"/>
    <x v="6"/>
    <n v="1412.93"/>
    <n v="64"/>
    <n v="111.23"/>
    <n v="252082.25"/>
    <n v="22493"/>
    <n v="871"/>
    <n v="695099"/>
    <n v="58604.3"/>
    <n v="4566"/>
  </r>
  <r>
    <x v="16"/>
    <s v="Vancouver"/>
    <n v="2023"/>
    <n v="127924"/>
    <x v="0"/>
    <n v="1861.8"/>
    <n v="290"/>
    <n v="74.53"/>
    <n v="238168.9"/>
    <n v="45030"/>
    <n v="3265"/>
    <n v="355218"/>
    <n v="45947.48"/>
    <n v="5699"/>
  </r>
  <r>
    <x v="17"/>
    <s v="Brisbane"/>
    <n v="2022"/>
    <n v="199725"/>
    <x v="4"/>
    <n v="598.91999999999996"/>
    <n v="375"/>
    <n v="183.75"/>
    <n v="119619.3"/>
    <n v="32909"/>
    <n v="3403"/>
    <n v="762932"/>
    <n v="11932.36"/>
    <n v="3195"/>
  </r>
  <r>
    <x v="12"/>
    <s v="Barcelona"/>
    <n v="2024"/>
    <n v="197776"/>
    <x v="1"/>
    <n v="921.35"/>
    <n v="429"/>
    <n v="50.57"/>
    <n v="182220.92"/>
    <n v="47964"/>
    <n v="2663"/>
    <n v="490924"/>
    <n v="31145.69"/>
    <n v="2265"/>
  </r>
  <r>
    <x v="13"/>
    <s v="Shanghai"/>
    <n v="2023"/>
    <n v="167996"/>
    <x v="0"/>
    <n v="1595.88"/>
    <n v="354"/>
    <n v="170.57"/>
    <n v="268101.46000000002"/>
    <n v="36047"/>
    <n v="1805"/>
    <n v="235784"/>
    <n v="37641.94"/>
    <n v="9777"/>
  </r>
  <r>
    <x v="1"/>
    <s v="Delhi"/>
    <n v="2024"/>
    <n v="196161"/>
    <x v="5"/>
    <n v="816.82"/>
    <n v="458"/>
    <n v="310.35000000000002"/>
    <n v="160228.23000000001"/>
    <n v="38988"/>
    <n v="4306"/>
    <n v="227129"/>
    <n v="14386.86"/>
    <n v="9210"/>
  </r>
  <r>
    <x v="0"/>
    <s v="Florence"/>
    <n v="2024"/>
    <n v="52413"/>
    <x v="2"/>
    <n v="3781.45"/>
    <n v="164"/>
    <n v="323.02"/>
    <n v="198197.14"/>
    <n v="42679"/>
    <n v="1292"/>
    <n v="654019"/>
    <n v="37500.82"/>
    <n v="5293"/>
  </r>
  <r>
    <x v="17"/>
    <s v="Sydney"/>
    <n v="2020"/>
    <n v="51214"/>
    <x v="6"/>
    <n v="667.5"/>
    <n v="172"/>
    <n v="426.33"/>
    <n v="34185.35"/>
    <n v="42792"/>
    <n v="2886"/>
    <n v="989805"/>
    <n v="3337.99"/>
    <n v="3945"/>
  </r>
  <r>
    <x v="3"/>
    <s v="Manchester"/>
    <n v="2024"/>
    <n v="160186"/>
    <x v="4"/>
    <n v="4547.8100000000004"/>
    <n v="307"/>
    <n v="467.77"/>
    <n v="728495.49"/>
    <n v="21608"/>
    <n v="735"/>
    <n v="652294"/>
    <n v="149694.29999999999"/>
    <n v="848"/>
  </r>
  <r>
    <x v="14"/>
    <s v="Chiang Mai"/>
    <n v="2022"/>
    <n v="193250"/>
    <x v="1"/>
    <n v="781"/>
    <n v="89"/>
    <n v="113.73"/>
    <n v="150928.25"/>
    <n v="18072"/>
    <n v="4732"/>
    <n v="941255"/>
    <n v="43936.43"/>
    <n v="7590"/>
  </r>
  <r>
    <x v="1"/>
    <s v="Mumbai"/>
    <n v="2023"/>
    <n v="169547"/>
    <x v="2"/>
    <n v="3659.71"/>
    <n v="327"/>
    <n v="402.32"/>
    <n v="620492.85"/>
    <n v="13998"/>
    <n v="1825"/>
    <n v="217973"/>
    <n v="109193.25"/>
    <n v="2018"/>
  </r>
  <r>
    <x v="18"/>
    <s v="Johannesburg"/>
    <n v="2020"/>
    <n v="105568"/>
    <x v="2"/>
    <n v="2677.32"/>
    <n v="270"/>
    <n v="174.89"/>
    <n v="282639.32"/>
    <n v="15683"/>
    <n v="904"/>
    <n v="526857"/>
    <n v="16202.26"/>
    <n v="6482"/>
  </r>
  <r>
    <x v="17"/>
    <s v="Brisbane"/>
    <n v="2022"/>
    <n v="108759"/>
    <x v="5"/>
    <n v="4778.3500000000004"/>
    <n v="61"/>
    <n v="442.17"/>
    <n v="519688.57"/>
    <n v="35936"/>
    <n v="4759"/>
    <n v="741750"/>
    <n v="38248.75"/>
    <n v="7520"/>
  </r>
  <r>
    <x v="3"/>
    <s v="London"/>
    <n v="2022"/>
    <n v="157293"/>
    <x v="3"/>
    <n v="973.49"/>
    <n v="407"/>
    <n v="421.03"/>
    <n v="153123.16"/>
    <n v="37563"/>
    <n v="521"/>
    <n v="346412"/>
    <n v="30481.41"/>
    <n v="5214"/>
  </r>
  <r>
    <x v="4"/>
    <s v="Cairo"/>
    <n v="2021"/>
    <n v="120198"/>
    <x v="4"/>
    <n v="2510.5300000000002"/>
    <n v="282"/>
    <n v="463.84"/>
    <n v="301760.68"/>
    <n v="35028"/>
    <n v="844"/>
    <n v="691687"/>
    <n v="55946.2"/>
    <n v="1778"/>
  </r>
  <r>
    <x v="0"/>
    <s v="Venice"/>
    <n v="2023"/>
    <n v="156718"/>
    <x v="6"/>
    <n v="770.49"/>
    <n v="406"/>
    <n v="202.27"/>
    <n v="120749.65"/>
    <n v="33615"/>
    <n v="1164"/>
    <n v="526492"/>
    <n v="23590.07"/>
    <n v="767"/>
  </r>
  <r>
    <x v="0"/>
    <s v="Florence"/>
    <n v="2023"/>
    <n v="88744"/>
    <x v="0"/>
    <n v="4514.26"/>
    <n v="116"/>
    <n v="496.32"/>
    <n v="400613.49"/>
    <n v="47662"/>
    <n v="1097"/>
    <n v="82125"/>
    <n v="92869.06"/>
    <n v="5601"/>
  </r>
  <r>
    <x v="0"/>
    <s v="Venice"/>
    <n v="2020"/>
    <n v="56895"/>
    <x v="1"/>
    <n v="4634.3599999999997"/>
    <n v="113"/>
    <n v="447.1"/>
    <n v="263671.90999999997"/>
    <n v="24932"/>
    <n v="1731"/>
    <n v="786786"/>
    <n v="14738.73"/>
    <n v="3983"/>
  </r>
  <r>
    <x v="19"/>
    <s v="Singapore City"/>
    <n v="2023"/>
    <n v="135435"/>
    <x v="3"/>
    <n v="2282.25"/>
    <n v="475"/>
    <n v="448.66"/>
    <n v="309096.53000000003"/>
    <n v="32750"/>
    <n v="723"/>
    <n v="611669"/>
    <n v="51408.74"/>
    <n v="1441"/>
  </r>
  <r>
    <x v="17"/>
    <s v="Sydney"/>
    <n v="2024"/>
    <n v="168724"/>
    <x v="0"/>
    <n v="3950.82"/>
    <n v="395"/>
    <n v="131.38999999999999"/>
    <n v="666598.15"/>
    <n v="27942"/>
    <n v="1343"/>
    <n v="452932"/>
    <n v="127011.07"/>
    <n v="1075"/>
  </r>
  <r>
    <x v="10"/>
    <s v="Munich"/>
    <n v="2021"/>
    <n v="57213"/>
    <x v="5"/>
    <n v="1635.81"/>
    <n v="383"/>
    <n v="317.87"/>
    <n v="93589.6"/>
    <n v="44601"/>
    <n v="2409"/>
    <n v="403383"/>
    <n v="11421.78"/>
    <n v="3161"/>
  </r>
  <r>
    <x v="11"/>
    <s v="Las Vegas"/>
    <n v="2022"/>
    <n v="154470"/>
    <x v="4"/>
    <n v="1360.59"/>
    <n v="180"/>
    <n v="153.68"/>
    <n v="210170.34"/>
    <n v="28763"/>
    <n v="1567"/>
    <n v="857039"/>
    <n v="60360.42"/>
    <n v="3279"/>
  </r>
  <r>
    <x v="5"/>
    <s v="Rio de Janeiro"/>
    <n v="2023"/>
    <n v="101514"/>
    <x v="4"/>
    <n v="3768.37"/>
    <n v="316"/>
    <n v="341.38"/>
    <n v="382542.31"/>
    <n v="25968"/>
    <n v="3861"/>
    <n v="505651"/>
    <n v="30322.639999999999"/>
    <n v="6742"/>
  </r>
  <r>
    <x v="19"/>
    <s v="Singapore City"/>
    <n v="2023"/>
    <n v="119893"/>
    <x v="6"/>
    <n v="1708.27"/>
    <n v="220"/>
    <n v="240.97"/>
    <n v="204809.62"/>
    <n v="26168"/>
    <n v="2272"/>
    <n v="471001"/>
    <n v="22437.38"/>
    <n v="8828"/>
  </r>
  <r>
    <x v="4"/>
    <s v="Luxor"/>
    <n v="2023"/>
    <n v="146134"/>
    <x v="5"/>
    <n v="4012.12"/>
    <n v="274"/>
    <n v="492.52"/>
    <n v="586307.14"/>
    <n v="27538"/>
    <n v="534"/>
    <n v="87310"/>
    <n v="111342.2"/>
    <n v="4539"/>
  </r>
  <r>
    <x v="0"/>
    <s v="Rome"/>
    <n v="2024"/>
    <n v="100255"/>
    <x v="6"/>
    <n v="637.05999999999995"/>
    <n v="177"/>
    <n v="333.75"/>
    <n v="63868.45"/>
    <n v="27401"/>
    <n v="3884"/>
    <n v="801690"/>
    <n v="13209.82"/>
    <n v="7048"/>
  </r>
  <r>
    <x v="18"/>
    <s v="Johannesburg"/>
    <n v="2022"/>
    <n v="160160"/>
    <x v="3"/>
    <n v="3809.59"/>
    <n v="441"/>
    <n v="428.73"/>
    <n v="610143.93000000005"/>
    <n v="44873"/>
    <n v="3262"/>
    <n v="769831"/>
    <n v="64131.91"/>
    <n v="458"/>
  </r>
  <r>
    <x v="8"/>
    <s v="Antalya"/>
    <n v="2023"/>
    <n v="152081"/>
    <x v="2"/>
    <n v="1348.25"/>
    <n v="214"/>
    <n v="201.38"/>
    <n v="205043.21"/>
    <n v="44709"/>
    <n v="4308"/>
    <n v="284622"/>
    <n v="22589.69"/>
    <n v="8228"/>
  </r>
  <r>
    <x v="12"/>
    <s v="Madrid"/>
    <n v="2023"/>
    <n v="100227"/>
    <x v="1"/>
    <n v="616.53"/>
    <n v="450"/>
    <n v="73.819999999999993"/>
    <n v="61792.95"/>
    <n v="21988"/>
    <n v="1097"/>
    <n v="895308"/>
    <n v="12002.29"/>
    <n v="816"/>
  </r>
  <r>
    <x v="11"/>
    <s v="San Francisco"/>
    <n v="2020"/>
    <n v="152390"/>
    <x v="6"/>
    <n v="3029.5"/>
    <n v="319"/>
    <n v="126.24"/>
    <n v="461665.51"/>
    <n v="38837"/>
    <n v="1863"/>
    <n v="87276"/>
    <n v="88746.12"/>
    <n v="3373"/>
  </r>
  <r>
    <x v="0"/>
    <s v="Florence"/>
    <n v="2020"/>
    <n v="160545"/>
    <x v="4"/>
    <n v="2028.62"/>
    <n v="438"/>
    <n v="135.97999999999999"/>
    <n v="325684.8"/>
    <n v="11554"/>
    <n v="3890"/>
    <n v="962752"/>
    <n v="38456.49"/>
    <n v="500"/>
  </r>
  <r>
    <x v="8"/>
    <s v="Istanbul"/>
    <n v="2021"/>
    <n v="69239"/>
    <x v="1"/>
    <n v="3183.77"/>
    <n v="252"/>
    <n v="284.06"/>
    <n v="220441.05"/>
    <n v="26217"/>
    <n v="2910"/>
    <n v="851123"/>
    <n v="28015.42"/>
    <n v="8425"/>
  </r>
  <r>
    <x v="1"/>
    <s v="Delhi"/>
    <n v="2021"/>
    <n v="173313"/>
    <x v="2"/>
    <n v="1398.51"/>
    <n v="395"/>
    <n v="140.38999999999999"/>
    <n v="242379.96"/>
    <n v="37471"/>
    <n v="752"/>
    <n v="104213"/>
    <n v="44890.41"/>
    <n v="3341"/>
  </r>
  <r>
    <x v="3"/>
    <s v="London"/>
    <n v="2022"/>
    <n v="85825"/>
    <x v="5"/>
    <n v="2354.08"/>
    <n v="338"/>
    <n v="468.41"/>
    <n v="202038.92"/>
    <n v="16688"/>
    <n v="1212"/>
    <n v="601039"/>
    <n v="23026"/>
    <n v="1179"/>
  </r>
  <r>
    <x v="16"/>
    <s v="Vancouver"/>
    <n v="2023"/>
    <n v="175758"/>
    <x v="5"/>
    <n v="1683.86"/>
    <n v="471"/>
    <n v="358.57"/>
    <n v="295951.87"/>
    <n v="14777"/>
    <n v="4485"/>
    <n v="193953"/>
    <n v="27991.98"/>
    <n v="2753"/>
  </r>
  <r>
    <x v="13"/>
    <s v="Guangzhou"/>
    <n v="2024"/>
    <n v="177785"/>
    <x v="0"/>
    <n v="3018.73"/>
    <n v="435"/>
    <n v="224.63"/>
    <n v="536684.91"/>
    <n v="29124"/>
    <n v="4683"/>
    <n v="442515"/>
    <n v="126716.96"/>
    <n v="5489"/>
  </r>
  <r>
    <x v="5"/>
    <s v="Rio de Janeiro"/>
    <n v="2021"/>
    <n v="135283"/>
    <x v="1"/>
    <n v="784.64"/>
    <n v="257"/>
    <n v="335.2"/>
    <n v="106148.45"/>
    <n v="44349"/>
    <n v="921"/>
    <n v="748093"/>
    <n v="25272.51"/>
    <n v="1408"/>
  </r>
  <r>
    <x v="0"/>
    <s v="Venice"/>
    <n v="2020"/>
    <n v="167674"/>
    <x v="2"/>
    <n v="4095.27"/>
    <n v="253"/>
    <n v="354.67"/>
    <n v="686670.3"/>
    <n v="25317"/>
    <n v="1939"/>
    <n v="465769"/>
    <n v="95366.45"/>
    <n v="9034"/>
  </r>
  <r>
    <x v="13"/>
    <s v="Beijing"/>
    <n v="2023"/>
    <n v="83734"/>
    <x v="4"/>
    <n v="1862.45"/>
    <n v="98"/>
    <n v="409.32"/>
    <n v="155950.39000000001"/>
    <n v="43452"/>
    <n v="2415"/>
    <n v="898039"/>
    <n v="27221.09"/>
    <n v="3338"/>
  </r>
  <r>
    <x v="10"/>
    <s v="Frankfurt"/>
    <n v="2024"/>
    <n v="80408"/>
    <x v="1"/>
    <n v="3674.1"/>
    <n v="321"/>
    <n v="397.52"/>
    <n v="295427.03000000003"/>
    <n v="5486"/>
    <n v="3696"/>
    <n v="551072"/>
    <n v="72865.86"/>
    <n v="338"/>
  </r>
  <r>
    <x v="4"/>
    <s v="Luxor"/>
    <n v="2023"/>
    <n v="122379"/>
    <x v="6"/>
    <n v="4700.55"/>
    <n v="181"/>
    <n v="349"/>
    <n v="575248.61"/>
    <n v="16864"/>
    <n v="3312"/>
    <n v="426826"/>
    <n v="49305.41"/>
    <n v="7904"/>
  </r>
  <r>
    <x v="1"/>
    <s v="Mumbai"/>
    <n v="2022"/>
    <n v="81113"/>
    <x v="4"/>
    <n v="3556.27"/>
    <n v="320"/>
    <n v="499.89"/>
    <n v="288459.73"/>
    <n v="10956"/>
    <n v="3465"/>
    <n v="85135"/>
    <n v="20657.86"/>
    <n v="9477"/>
  </r>
  <r>
    <x v="11"/>
    <s v="San Francisco"/>
    <n v="2022"/>
    <n v="53262"/>
    <x v="0"/>
    <n v="784.35"/>
    <n v="237"/>
    <n v="123.83"/>
    <n v="41776.050000000003"/>
    <n v="20329"/>
    <n v="3920"/>
    <n v="461811"/>
    <n v="11293.09"/>
    <n v="4641"/>
  </r>
  <r>
    <x v="18"/>
    <s v="Cape Town"/>
    <n v="2020"/>
    <n v="95771"/>
    <x v="5"/>
    <n v="1792.66"/>
    <n v="78"/>
    <n v="190.72"/>
    <n v="171684.84"/>
    <n v="43409"/>
    <n v="2501"/>
    <n v="466512"/>
    <n v="30179.34"/>
    <n v="6623"/>
  </r>
  <r>
    <x v="17"/>
    <s v="Brisbane"/>
    <n v="2023"/>
    <n v="62397"/>
    <x v="0"/>
    <n v="2977.45"/>
    <n v="231"/>
    <n v="106.23"/>
    <n v="185783.95"/>
    <n v="18824"/>
    <n v="1282"/>
    <n v="819776"/>
    <n v="55651.35"/>
    <n v="8177"/>
  </r>
  <r>
    <x v="16"/>
    <s v="Vancouver"/>
    <n v="2020"/>
    <n v="86490"/>
    <x v="2"/>
    <n v="2143.5300000000002"/>
    <n v="369"/>
    <n v="409.86"/>
    <n v="185393.91"/>
    <n v="18806"/>
    <n v="1416"/>
    <n v="669212"/>
    <n v="45143.19"/>
    <n v="1068"/>
  </r>
  <r>
    <x v="1"/>
    <s v="Delhi"/>
    <n v="2024"/>
    <n v="122833"/>
    <x v="1"/>
    <n v="1560.05"/>
    <n v="330"/>
    <n v="318.93"/>
    <n v="191625.62"/>
    <n v="46941"/>
    <n v="4029"/>
    <n v="50801"/>
    <n v="55847.87"/>
    <n v="9421"/>
  </r>
  <r>
    <x v="5"/>
    <s v="Rio de Janeiro"/>
    <n v="2023"/>
    <n v="78363"/>
    <x v="6"/>
    <n v="1804.66"/>
    <n v="64"/>
    <n v="280.19"/>
    <n v="141418.57"/>
    <n v="19855"/>
    <n v="3685"/>
    <n v="699362"/>
    <n v="28959.74"/>
    <n v="2989"/>
  </r>
  <r>
    <x v="9"/>
    <s v="Santorini"/>
    <n v="2021"/>
    <n v="59569"/>
    <x v="2"/>
    <n v="4592.5"/>
    <n v="91"/>
    <n v="189.44"/>
    <n v="273570.63"/>
    <n v="12612"/>
    <n v="3255"/>
    <n v="892329"/>
    <n v="40084.879999999997"/>
    <n v="6720"/>
  </r>
  <r>
    <x v="16"/>
    <s v="Toronto"/>
    <n v="2020"/>
    <n v="174746"/>
    <x v="5"/>
    <n v="4964.34"/>
    <n v="248"/>
    <n v="82.36"/>
    <n v="867498.56"/>
    <n v="43677"/>
    <n v="1180"/>
    <n v="877363"/>
    <n v="128571.76"/>
    <n v="7686"/>
  </r>
  <r>
    <x v="2"/>
    <s v="Tokyo"/>
    <n v="2024"/>
    <n v="124408"/>
    <x v="2"/>
    <n v="3290.01"/>
    <n v="364"/>
    <n v="245.61"/>
    <n v="409303.56"/>
    <n v="18541"/>
    <n v="3727"/>
    <n v="72948"/>
    <n v="41532.78"/>
    <n v="2417"/>
  </r>
  <r>
    <x v="5"/>
    <s v="Rio de Janeiro"/>
    <n v="2024"/>
    <n v="151925"/>
    <x v="6"/>
    <n v="4288.93"/>
    <n v="380"/>
    <n v="257.26"/>
    <n v="651595.68999999994"/>
    <n v="19274"/>
    <n v="1793"/>
    <n v="216305"/>
    <n v="50765.16"/>
    <n v="8544"/>
  </r>
  <r>
    <x v="5"/>
    <s v="Rio de Janeiro"/>
    <n v="2022"/>
    <n v="118295"/>
    <x v="2"/>
    <n v="3395.16"/>
    <n v="391"/>
    <n v="153.94"/>
    <n v="401630.45"/>
    <n v="20248"/>
    <n v="3068"/>
    <n v="720397"/>
    <n v="27079"/>
    <n v="4910"/>
  </r>
  <r>
    <x v="18"/>
    <s v="Johannesburg"/>
    <n v="2020"/>
    <n v="187863"/>
    <x v="4"/>
    <n v="2890.4"/>
    <n v="143"/>
    <n v="470.48"/>
    <n v="542999.22"/>
    <n v="14967"/>
    <n v="935"/>
    <n v="972451"/>
    <n v="101734.79"/>
    <n v="9107"/>
  </r>
  <r>
    <x v="9"/>
    <s v="Santorini"/>
    <n v="2021"/>
    <n v="124495"/>
    <x v="1"/>
    <n v="3443.35"/>
    <n v="363"/>
    <n v="107.94"/>
    <n v="428679.86"/>
    <n v="35418"/>
    <n v="3648"/>
    <n v="567561"/>
    <n v="62451.07"/>
    <n v="8433"/>
  </r>
  <r>
    <x v="6"/>
    <s v="Dubai"/>
    <n v="2021"/>
    <n v="198348"/>
    <x v="1"/>
    <n v="825.75"/>
    <n v="201"/>
    <n v="111.43"/>
    <n v="163785.85999999999"/>
    <n v="15892"/>
    <n v="3874"/>
    <n v="488895"/>
    <n v="18137.05"/>
    <n v="7731"/>
  </r>
  <r>
    <x v="1"/>
    <s v="Delhi"/>
    <n v="2023"/>
    <n v="89994"/>
    <x v="5"/>
    <n v="3661.83"/>
    <n v="356"/>
    <n v="193.57"/>
    <n v="329542.73"/>
    <n v="23205"/>
    <n v="3151"/>
    <n v="649830"/>
    <n v="46315.72"/>
    <n v="8849"/>
  </r>
  <r>
    <x v="15"/>
    <s v="Cancun"/>
    <n v="2022"/>
    <n v="110645"/>
    <x v="2"/>
    <n v="4324.29"/>
    <n v="206"/>
    <n v="386.9"/>
    <n v="478461.07"/>
    <n v="17213"/>
    <n v="3637"/>
    <n v="681445"/>
    <n v="135742.04"/>
    <n v="3226"/>
  </r>
  <r>
    <x v="3"/>
    <s v="London"/>
    <n v="2020"/>
    <n v="62120"/>
    <x v="4"/>
    <n v="2160.44"/>
    <n v="366"/>
    <n v="158.32"/>
    <n v="134206.53"/>
    <n v="24093"/>
    <n v="4905"/>
    <n v="225885"/>
    <n v="20281.66"/>
    <n v="830"/>
  </r>
  <r>
    <x v="19"/>
    <s v="Sentosa Island"/>
    <n v="2022"/>
    <n v="197000"/>
    <x v="6"/>
    <n v="4240.6099999999997"/>
    <n v="106"/>
    <n v="224.23"/>
    <n v="835400.17"/>
    <n v="42134"/>
    <n v="3416"/>
    <n v="917190"/>
    <n v="85259.23"/>
    <n v="2789"/>
  </r>
  <r>
    <x v="9"/>
    <s v="Santorini"/>
    <n v="2023"/>
    <n v="139110"/>
    <x v="3"/>
    <n v="4395.3999999999996"/>
    <n v="461"/>
    <n v="82.99"/>
    <n v="611444.09"/>
    <n v="12999"/>
    <n v="4121"/>
    <n v="168371"/>
    <n v="177256.44"/>
    <n v="1745"/>
  </r>
  <r>
    <x v="18"/>
    <s v="Cape Town"/>
    <n v="2023"/>
    <n v="60435"/>
    <x v="0"/>
    <n v="1185.03"/>
    <n v="59"/>
    <n v="166.73"/>
    <n v="71617.289999999994"/>
    <n v="48005"/>
    <n v="901"/>
    <n v="678203"/>
    <n v="19031.650000000001"/>
    <n v="7980"/>
  </r>
  <r>
    <x v="18"/>
    <s v="Cape Town"/>
    <n v="2023"/>
    <n v="187521"/>
    <x v="5"/>
    <n v="2223.7600000000002"/>
    <n v="226"/>
    <n v="407.88"/>
    <n v="417001.7"/>
    <n v="33952"/>
    <n v="4984"/>
    <n v="861624"/>
    <n v="71286.12"/>
    <n v="8305"/>
  </r>
  <r>
    <x v="17"/>
    <s v="Sydney"/>
    <n v="2020"/>
    <n v="66365"/>
    <x v="6"/>
    <n v="4598.71"/>
    <n v="395"/>
    <n v="177.69"/>
    <n v="305193.39"/>
    <n v="39012"/>
    <n v="3970"/>
    <n v="557730"/>
    <n v="33746.25"/>
    <n v="1009"/>
  </r>
  <r>
    <x v="13"/>
    <s v="Shanghai"/>
    <n v="2024"/>
    <n v="164110"/>
    <x v="6"/>
    <n v="4125.24"/>
    <n v="112"/>
    <n v="336.83"/>
    <n v="676993.14"/>
    <n v="37624"/>
    <n v="1715"/>
    <n v="969199"/>
    <n v="111714.72"/>
    <n v="110"/>
  </r>
  <r>
    <x v="8"/>
    <s v="Istanbul"/>
    <n v="2020"/>
    <n v="190302"/>
    <x v="4"/>
    <n v="4975.67"/>
    <n v="177"/>
    <n v="360.18"/>
    <n v="946879.95"/>
    <n v="18662"/>
    <n v="2289"/>
    <n v="986924"/>
    <n v="103359.79"/>
    <n v="7183"/>
  </r>
  <r>
    <x v="11"/>
    <s v="Miami"/>
    <n v="2023"/>
    <n v="88262"/>
    <x v="4"/>
    <n v="1677.52"/>
    <n v="107"/>
    <n v="348.85"/>
    <n v="148061.26999999999"/>
    <n v="12689"/>
    <n v="4890"/>
    <n v="531947"/>
    <n v="41393.68"/>
    <n v="6575"/>
  </r>
  <r>
    <x v="12"/>
    <s v="Barcelona"/>
    <n v="2024"/>
    <n v="195800"/>
    <x v="6"/>
    <n v="3654.55"/>
    <n v="158"/>
    <n v="105.12"/>
    <n v="715560.89"/>
    <n v="43699"/>
    <n v="1745"/>
    <n v="167408"/>
    <n v="85535.22"/>
    <n v="7081"/>
  </r>
  <r>
    <x v="18"/>
    <s v="Cape Town"/>
    <n v="2024"/>
    <n v="105654"/>
    <x v="2"/>
    <n v="522.85"/>
    <n v="414"/>
    <n v="331.82"/>
    <n v="55241.19"/>
    <n v="10958"/>
    <n v="2678"/>
    <n v="896626"/>
    <n v="13460.52"/>
    <n v="873"/>
  </r>
  <r>
    <x v="17"/>
    <s v="Sydney"/>
    <n v="2023"/>
    <n v="115888"/>
    <x v="6"/>
    <n v="3450.33"/>
    <n v="167"/>
    <n v="419.21"/>
    <n v="399851.84"/>
    <n v="32213"/>
    <n v="4977"/>
    <n v="636510"/>
    <n v="48753.78"/>
    <n v="5856"/>
  </r>
  <r>
    <x v="3"/>
    <s v="Manchester"/>
    <n v="2022"/>
    <n v="192326"/>
    <x v="6"/>
    <n v="3249.61"/>
    <n v="236"/>
    <n v="256.20999999999998"/>
    <n v="624984.49"/>
    <n v="20545"/>
    <n v="4608"/>
    <n v="534427"/>
    <n v="157455.35999999999"/>
    <n v="9216"/>
  </r>
  <r>
    <x v="13"/>
    <s v="Shanghai"/>
    <n v="2024"/>
    <n v="59795"/>
    <x v="5"/>
    <n v="4010.38"/>
    <n v="379"/>
    <n v="265.10000000000002"/>
    <n v="239800.67"/>
    <n v="36042"/>
    <n v="3660"/>
    <n v="603669"/>
    <n v="45555.56"/>
    <n v="970"/>
  </r>
  <r>
    <x v="12"/>
    <s v="Barcelona"/>
    <n v="2022"/>
    <n v="130770"/>
    <x v="2"/>
    <n v="1089.8599999999999"/>
    <n v="57"/>
    <n v="169.29"/>
    <n v="142520.99"/>
    <n v="20321"/>
    <n v="2212"/>
    <n v="692216"/>
    <n v="24609.61"/>
    <n v="78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BD0A2-386D-412F-A885-DC311043ACAD}" name="PivotTable1" cacheId="2" applyNumberFormats="0" applyBorderFormats="0" applyFontFormats="0" applyPatternFormats="0" applyAlignmentFormats="0" applyWidthHeightFormats="1" dataCaption="Values" tag="926e2f2b-813e-424e-a44b-3639dec032d6" updatedVersion="8" minRefreshableVersion="3" useAutoFormatting="1" subtotalHiddenItems="1" itemPrintTitles="1" createdVersion="5" indent="0" outline="1" outlineData="1" multipleFieldFilters="0">
  <location ref="B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Number_of_Tourists" fld="0" baseField="0" baseItem="0"/>
    <dataField name="Sum of Tourist_Spending_USD" fld="1" baseField="0" baseItem="0"/>
    <dataField name="Sum of Tourism_Revenue_USD" fld="2" baseField="0" baseItem="0"/>
    <dataField name="Sum of Number_of_Hotels" fld="3" baseField="0" baseItem="0"/>
  </dataFields>
  <pivotHierarchies count="26">
    <pivotHierarchy multipleItemSelectionAllowed="1" dragToData="1">
      <members count="1" level="1">
        <member name="[Table1].[Country].&amp;[United Arab Emirates]"/>
      </members>
    </pivotHierarchy>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58B65A-FF91-458F-AD2C-1E443C4CA5ED}" name="PivotTable7" cacheId="7" applyNumberFormats="0" applyBorderFormats="0" applyFontFormats="0" applyPatternFormats="0" applyAlignmentFormats="0" applyWidthHeightFormats="1" dataCaption="Values" tag="db019457-8561-42f4-898d-2f7a9f729620" updatedVersion="8" minRefreshableVersion="3" useAutoFormatting="1" subtotalHiddenItems="1" itemPrintTitles="1" createdVersion="5" indent="0" outline="1" outlineData="1" multipleFieldFilters="0" chartFormat="25">
  <location ref="B136:C138"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Number_of_Online_Reviews" fld="1" baseField="0" baseItem="0"/>
  </dataFields>
  <chartFormats count="1">
    <chartFormat chart="6" format="0" series="1">
      <pivotArea type="data" outline="0" fieldPosition="0">
        <references count="1">
          <reference field="4294967294" count="1" selected="0">
            <x v="0"/>
          </reference>
        </references>
      </pivotArea>
    </chartFormat>
  </chartFormats>
  <pivotHierarchies count="26">
    <pivotHierarchy multipleItemSelectionAllowed="1" dragToData="1"/>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3CD6B-9238-45E7-A99D-59286FB61112}" name="PivotTable6" cacheId="8" applyNumberFormats="0" applyBorderFormats="0" applyFontFormats="0" applyPatternFormats="0" applyAlignmentFormats="0" applyWidthHeightFormats="1" dataCaption="Values" tag="c51d1156-ed0b-4875-948a-8e77cf6a4cfe" updatedVersion="8" minRefreshableVersion="3" useAutoFormatting="1" subtotalHiddenItems="1" itemPrintTitles="1" createdVersion="5" indent="0" outline="1" outlineData="1" multipleFieldFilters="0" chartFormat="24">
  <location ref="B72:C7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Tourist_Spending_USD" fld="0" baseField="0" baseItem="0"/>
  </dataFields>
  <chartFormats count="3">
    <chartFormat chart="16"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26">
    <pivotHierarchy multipleItemSelectionAllowed="1" dragToData="1">
      <members count="1" level="1">
        <member name="[Table1].[Country].&amp;[United Arab Emirates]"/>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F922EE-B712-45C7-BF70-EF76408AA4F1}" name="PivotTable4" cacheId="5" applyNumberFormats="0" applyBorderFormats="0" applyFontFormats="0" applyPatternFormats="0" applyAlignmentFormats="0" applyWidthHeightFormats="1" dataCaption="Values" tag="58d9a623-9f2f-4b37-bb79-e5feecf56aa6" updatedVersion="8" minRefreshableVersion="3" useAutoFormatting="1" subtotalHiddenItems="1" itemPrintTitles="1" createdVersion="5" indent="0" outline="1" outlineData="1" multipleFieldFilters="0" chartFormat="21">
  <location ref="B43:C45"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Number_of_Tourists" fld="1" baseField="0" baseItem="0"/>
  </dataFields>
  <chartFormats count="2">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26">
    <pivotHierarchy multipleItemSelectionAllowed="1" dragToData="1">
      <members count="1" level="1">
        <member name="[Table1].[Country].&amp;[United Arab Emirates]"/>
      </members>
    </pivotHierarchy>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57EFCB-75D6-4AAE-88C1-BCC658F9299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92:D100" firstHeaderRow="1" firstDataRow="1" firstDataCol="1"/>
  <pivotFields count="14">
    <pivotField showAll="0"/>
    <pivotField showAll="0"/>
    <pivotField showAll="0"/>
    <pivotField showAll="0"/>
    <pivotField axis="axisRow" showAll="0">
      <items count="8">
        <item x="6"/>
        <item x="0"/>
        <item x="3"/>
        <item x="4"/>
        <item x="2"/>
        <item x="5"/>
        <item x="1"/>
        <item t="default"/>
      </items>
    </pivotField>
    <pivotField showAll="0"/>
    <pivotField dataField="1"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Sum of Number_of_Hotels" fld="6" baseField="0" baseItem="0"/>
  </dataFields>
  <chartFormats count="9">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0"/>
          </reference>
          <reference field="4" count="1" selected="0">
            <x v="2"/>
          </reference>
        </references>
      </pivotArea>
    </chartFormat>
    <chartFormat chart="5" format="8">
      <pivotArea type="data" outline="0" fieldPosition="0">
        <references count="2">
          <reference field="4294967294" count="1" selected="0">
            <x v="0"/>
          </reference>
          <reference field="4" count="1" selected="0">
            <x v="3"/>
          </reference>
        </references>
      </pivotArea>
    </chartFormat>
    <chartFormat chart="5" format="9">
      <pivotArea type="data" outline="0" fieldPosition="0">
        <references count="2">
          <reference field="4294967294" count="1" selected="0">
            <x v="0"/>
          </reference>
          <reference field="4" count="1" selected="0">
            <x v="4"/>
          </reference>
        </references>
      </pivotArea>
    </chartFormat>
    <chartFormat chart="5" format="10">
      <pivotArea type="data" outline="0" fieldPosition="0">
        <references count="2">
          <reference field="4294967294" count="1" selected="0">
            <x v="0"/>
          </reference>
          <reference field="4" count="1" selected="0">
            <x v="5"/>
          </reference>
        </references>
      </pivotArea>
    </chartFormat>
    <chartFormat chart="5"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8180C-7175-434A-85F7-49CC58A46FF5}" name="PivotTable10" cacheId="3" applyNumberFormats="0" applyBorderFormats="0" applyFontFormats="0" applyPatternFormats="0" applyAlignmentFormats="0" applyWidthHeightFormats="1" dataCaption="Values" tag="f408b14d-3e1c-4e80-9dce-d788bd371961" updatedVersion="8" minRefreshableVersion="3" subtotalHiddenItems="1" itemPrintTitles="1" createdVersion="5" indent="0" outline="1" outlineData="1" multipleFieldFilters="0" chartFormat="18">
  <location ref="B106" firstHeaderRow="0" firstDataRow="0" firstDataCol="0"/>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Airport_Passenger_Traffic" fld="0" baseField="0" baseItem="0"/>
  </dataFields>
  <pivotHierarchies count="26">
    <pivotHierarchy multipleItemSelectionAllowed="1" dragToData="1">
      <members count="1" level="1">
        <member name="[Table1].[Country].&amp;[United Arab Emirates]"/>
      </members>
    </pivotHierarchy>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FE58AC-8017-4128-B52A-6251005C10A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09:C120" firstHeaderRow="1" firstDataRow="1" firstDataCol="1"/>
  <pivotFields count="14">
    <pivotField axis="axisRow" showAll="0" measureFilter="1">
      <items count="21">
        <item x="17"/>
        <item x="5"/>
        <item x="16"/>
        <item x="13"/>
        <item x="4"/>
        <item x="7"/>
        <item x="10"/>
        <item x="9"/>
        <item x="1"/>
        <item x="0"/>
        <item x="2"/>
        <item x="15"/>
        <item x="19"/>
        <item x="18"/>
        <item x="12"/>
        <item x="14"/>
        <item x="8"/>
        <item x="6"/>
        <item x="3"/>
        <item x="11"/>
        <item t="default"/>
      </items>
    </pivotField>
    <pivotField showAll="0"/>
    <pivotField showAll="0"/>
    <pivotField showAll="0"/>
    <pivotField showAll="0">
      <items count="8">
        <item x="6"/>
        <item x="0"/>
        <item x="3"/>
        <item x="4"/>
        <item x="2"/>
        <item x="5"/>
        <item x="1"/>
        <item t="default"/>
      </items>
    </pivotField>
    <pivotField showAll="0"/>
    <pivotField showAll="0"/>
    <pivotField showAll="0"/>
    <pivotField showAll="0"/>
    <pivotField dataField="1" showAll="0"/>
    <pivotField showAll="0"/>
    <pivotField showAll="0"/>
    <pivotField showAll="0"/>
    <pivotField showAll="0"/>
  </pivotFields>
  <rowFields count="1">
    <field x="0"/>
  </rowFields>
  <rowItems count="11">
    <i>
      <x/>
    </i>
    <i>
      <x v="2"/>
    </i>
    <i>
      <x v="3"/>
    </i>
    <i>
      <x v="4"/>
    </i>
    <i>
      <x v="6"/>
    </i>
    <i>
      <x v="8"/>
    </i>
    <i>
      <x v="9"/>
    </i>
    <i>
      <x v="13"/>
    </i>
    <i>
      <x v="14"/>
    </i>
    <i>
      <x v="19"/>
    </i>
    <i t="grand">
      <x/>
    </i>
  </rowItems>
  <colItems count="1">
    <i/>
  </colItems>
  <dataFields count="1">
    <dataField name="Sum of Employment_in_Tourism" fld="9" baseField="0" baseItem="0"/>
  </dataFields>
  <chartFormats count="2">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D91A85-1656-4F2A-A774-40E94C65DFED}"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3" firstHeaderRow="0" firstDataRow="0"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EB6351-CD39-4B80-9AB9-C855E08564A8}" name="PivotTable3" cacheId="4" applyNumberFormats="0" applyBorderFormats="0" applyFontFormats="0" applyPatternFormats="0" applyAlignmentFormats="0" applyWidthHeightFormats="1" dataCaption="Values" tag="bcb0b1df-00d8-4c97-bfe1-b1698ac482d5" updatedVersion="8" minRefreshableVersion="3" useAutoFormatting="1" subtotalHiddenItems="1" itemPrintTitles="1" createdVersion="5" indent="0" outline="1" outlineData="1" multipleFieldFilters="0" chartFormat="15">
  <location ref="B15:C17"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urist_Spending_USD" fld="1" baseField="0" baseItem="0"/>
  </dataFields>
  <chartFormats count="2">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26">
    <pivotHierarchy multipleItemSelectionAllowed="1" dragToData="1"/>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156612-9A9C-4E1E-ADFB-FB87B0E3C673}" name="PivotTable2" cacheId="1" applyNumberFormats="0" applyBorderFormats="0" applyFontFormats="0" applyPatternFormats="0" applyAlignmentFormats="0" applyWidthHeightFormats="1" dataCaption="Values" tag="af6abac1-93de-4c35-aa9e-1cc8440a3079" updatedVersion="8" minRefreshableVersion="3" useAutoFormatting="1" subtotalHiddenItems="1" itemPrintTitles="1" createdVersion="5" indent="0" outline="1" outlineData="1" multipleFieldFilters="0">
  <location ref="I3:K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6">
    <pivotHierarchy multipleItemSelectionAllowed="1" dragToData="1">
      <members count="1" level="1">
        <member name="[Table1].[Country].&amp;[United Arab Emirates]"/>
      </members>
    </pivotHierarchy>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55689A-070C-4316-9BA0-B9F87C57F934}" name="PivotTable5" cacheId="6" applyNumberFormats="0" applyBorderFormats="0" applyFontFormats="0" applyPatternFormats="0" applyAlignmentFormats="0" applyWidthHeightFormats="1" dataCaption="Values" tag="f0357f9a-16d2-4eee-bee2-a44ec6613042" updatedVersion="8" minRefreshableVersion="3" subtotalHiddenItems="1" itemPrintTitles="1" createdVersion="5" indent="0" outline="1" outlineData="1" multipleFieldFilters="0" chartFormat="7">
  <location ref="B58:B61" firstHeaderRow="1" firstDataRow="1" firstDataCol="1"/>
  <pivotFields count="3">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pivotHierarchies count="26">
    <pivotHierarchy multipleItemSelectionAllowed="1" dragToData="1">
      <members count="1" level="1">
        <member name="[Table1].[Country].&amp;[United Arab Emirates]"/>
      </members>
    </pivotHierarchy>
    <pivotHierarchy dragToData="1"/>
    <pivotHierarchy multipleItemSelectionAllowed="1" dragToData="1">
      <members count="1" level="1">
        <member name="[Table1].[Year].&amp;[2020]"/>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17</v>
    <v>7</v>
  </rv>
  <rv s="0">
    <v>1</v>
    <v>8</v>
    <v>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EA0313-27BF-4BBA-8A35-B29E51C81450}" sourceName="[Table1].[Country]">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s>
  <data>
    <olap pivotCacheId="552556754">
      <levels count="2">
        <level uniqueName="[Table1].[Country].[(All)]" sourceCaption="(All)" count="0"/>
        <level uniqueName="[Table1].[Country].[Country]" sourceCaption="Country" count="20">
          <ranges>
            <range startItem="0">
              <i n="[Table1].[Country].&amp;[Australia]" c="Australia"/>
              <i n="[Table1].[Country].&amp;[Brazil]" c="Brazil"/>
              <i n="[Table1].[Country].&amp;[Canada]" c="Canada"/>
              <i n="[Table1].[Country].&amp;[China]" c="China"/>
              <i n="[Table1].[Country].&amp;[Egypt]" c="Egypt"/>
              <i n="[Table1].[Country].&amp;[France]" c="France"/>
              <i n="[Table1].[Country].&amp;[Germany]" c="Germany"/>
              <i n="[Table1].[Country].&amp;[Greece]" c="Greece"/>
              <i n="[Table1].[Country].&amp;[India]" c="India"/>
              <i n="[Table1].[Country].&amp;[Italy]" c="Italy"/>
              <i n="[Table1].[Country].&amp;[Japan]" c="Japan"/>
              <i n="[Table1].[Country].&amp;[Mexico]" c="Mexico"/>
              <i n="[Table1].[Country].&amp;[Singapore]" c="Singapore"/>
              <i n="[Table1].[Country].&amp;[South Africa]" c="South Africa"/>
              <i n="[Table1].[Country].&amp;[Spain]" c="Spain"/>
              <i n="[Table1].[Country].&amp;[Thailand]" c="Thailand"/>
              <i n="[Table1].[Country].&amp;[Turkey]" c="Turkey"/>
              <i n="[Table1].[Country].&amp;[United Arab Emirates]" c="United Arab Emirates"/>
              <i n="[Table1].[Country].&amp;[United Kingdom]" c="United Kingdom"/>
              <i n="[Table1].[Country].&amp;[United States]" c="United States"/>
            </range>
          </ranges>
        </level>
      </levels>
      <selections count="1">
        <selection n="[Table1].[Country].&amp;[United Arab Emir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72EEA0-33C9-4890-AC80-76780833F4BA}" sourceName="[Table1].[Year]">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s>
  <data>
    <olap pivotCacheId="552556754">
      <levels count="2">
        <level uniqueName="[Table1].[Year].[(All)]" sourceCaption="(All)" count="0"/>
        <level uniqueName="[Table1].[Year].[Year]" sourceCaption="Year" count="5">
          <ranges>
            <range startItem="0">
              <i n="[Table1].[Year].&amp;[2020]" c="2020"/>
              <i n="[Table1].[Year].&amp;[2021]" c="2021"/>
              <i n="[Table1].[Year].&amp;[2022]" c="2022"/>
              <i n="[Table1].[Year].&amp;[2023]" c="2023"/>
              <i n="[Table1].[Year].&amp;[2024]" c="2024"/>
            </range>
          </ranges>
        </level>
      </levels>
      <selections count="1">
        <selection n="[Table1].[Year].&amp;[2020]"/>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of_Visit" xr10:uid="{6636140E-CFB3-4F52-83D1-6E08D22EDC2E}" sourceName="[Table1].[Purpose_of_Visit]">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s>
  <data>
    <olap pivotCacheId="552556754">
      <levels count="2">
        <level uniqueName="[Table1].[Purpose_of_Visit].[(All)]" sourceCaption="(All)" count="0"/>
        <level uniqueName="[Table1].[Purpose_of_Visit].[Purpose_of_Visit]" sourceCaption="Purpose_of_Visit" count="7">
          <ranges>
            <range startItem="0">
              <i n="[Table1].[Purpose_of_Visit].&amp;[Educational]" c="Educational"/>
              <i n="[Table1].[Purpose_of_Visit].&amp;[Business]" c="Business" nd="1"/>
              <i n="[Table1].[Purpose_of_Visit].&amp;[Cultural]" c="Cultural" nd="1"/>
              <i n="[Table1].[Purpose_of_Visit].&amp;[Family Visit]" c="Family Visit" nd="1"/>
              <i n="[Table1].[Purpose_of_Visit].&amp;[Leisure]" c="Leisure" nd="1"/>
              <i n="[Table1].[Purpose_of_Visit].&amp;[Medical]" c="Medical" nd="1"/>
              <i n="[Table1].[Purpose_of_Visit].&amp;[Religious]" c="Religious" nd="1"/>
            </range>
          </ranges>
        </level>
      </levels>
      <selections count="1">
        <selection n="[Table1].[Purpose_of_Visi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74EC879-E3D9-42BB-A019-EEBE9722BC8F}" cache="Slicer_Country" caption="Country" level="1" rowHeight="234950"/>
  <slicer name="Year" xr10:uid="{818A3233-DBDC-46E2-80D4-344BAD0B3A89}" cache="Slicer_Year" caption="Year" level="1" rowHeight="234950"/>
  <slicer name="Purpose_of_Visit" xr10:uid="{56534F6F-4AAF-4E4F-8074-1B4E1FACA10E}" cache="Slicer_Purpose_of_Visit" caption="Purpose_of_Visi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0635B8AA-79D5-4FF9-9EBB-2C737096847A}" cache="Slicer_Country" caption="Country" level="1" rowHeight="234950"/>
  <slicer name="Year 2" xr10:uid="{AD7A863E-F64E-4870-A728-2F08B2A6E8F5}" cache="Slicer_Year" caption="Year" level="1" style="SlicerStyleOther2" rowHeight="252000"/>
  <slicer name="Purpose_of_Visit 2" xr10:uid="{1C18F03A-D2F6-447F-8879-DBBD13EE8E86}" cache="Slicer_Purpose_of_Visit" caption="Purpose_of_Visit" startItem="1"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3041B-2E73-41E2-B50B-C4FFB13FF86B}" name="Table1" displayName="Table1" ref="A1:N501" totalsRowShown="0">
  <autoFilter ref="A1:N501" xr:uid="{B493041B-2E73-41E2-B50B-C4FFB13FF86B}"/>
  <tableColumns count="14">
    <tableColumn id="1" xr3:uid="{0B060D53-FD3C-4BCA-BA0F-A07E98700F64}" name="Country"/>
    <tableColumn id="2" xr3:uid="{C46FE8EB-2D4F-4175-BAA7-00E511B33E63}" name="City"/>
    <tableColumn id="3" xr3:uid="{B24AD5A2-1149-47C1-AEF5-AFB51B3E4170}" name="Year"/>
    <tableColumn id="4" xr3:uid="{C0D069F0-5129-41AF-ABC4-01FBE5947590}" name="Number_of_Tourists"/>
    <tableColumn id="5" xr3:uid="{B3923E32-26C7-40CF-A665-DAB49354BBC2}" name="Purpose_of_Visit"/>
    <tableColumn id="6" xr3:uid="{CEA5E58F-4432-4F5A-8A76-AC86B17215A5}" name="Tourist_Spending_USD"/>
    <tableColumn id="7" xr3:uid="{1310AF04-A388-4D87-ABFA-8DA5FB7E4691}" name="Number_of_Hotels"/>
    <tableColumn id="8" xr3:uid="{63D43B22-9476-4A89-B689-78A7C8CB20C1}" name="Average_Room_Price_USD"/>
    <tableColumn id="9" xr3:uid="{35877356-7A86-42C9-A4EE-C660B00BEDDB}" name="Tourism_Revenue_USD"/>
    <tableColumn id="10" xr3:uid="{B05A8EC3-AACA-4695-9131-BC26A292C04A}" name="Employment_in_Tourism"/>
    <tableColumn id="11" xr3:uid="{87BCC796-5CE8-4F7A-AD19-AE9503806465}" name="Number_of_Flights"/>
    <tableColumn id="12" xr3:uid="{B1626C24-1BDD-4E3D-9708-35EEE6AF7BBF}" name="Airport_Passenger_Traffic"/>
    <tableColumn id="13" xr3:uid="{9846BACB-17F9-4008-9199-587B1FBEE8CA}" name="Eco_Tourism_Revenue_USD"/>
    <tableColumn id="14" xr3:uid="{0A167621-6D2F-41DD-86A7-2715FDE564E3}" name="Number_of_Online_Review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4456-1AF3-467D-B0E9-96DC54C82F1D}">
  <dimension ref="B1:K138"/>
  <sheetViews>
    <sheetView workbookViewId="0"/>
  </sheetViews>
  <sheetFormatPr defaultRowHeight="14.4" x14ac:dyDescent="0.3"/>
  <cols>
    <col min="2" max="2" width="18.44140625" bestFit="1" customWidth="1"/>
    <col min="3" max="3" width="31.88671875" bestFit="1" customWidth="1"/>
    <col min="4" max="4" width="27.5546875" bestFit="1" customWidth="1"/>
    <col min="5" max="5" width="23.6640625" bestFit="1" customWidth="1"/>
    <col min="9" max="11" width="23.6640625" bestFit="1" customWidth="1"/>
  </cols>
  <sheetData>
    <row r="1" spans="2:11" x14ac:dyDescent="0.3">
      <c r="C1" s="13" t="s">
        <v>101</v>
      </c>
      <c r="D1" s="14"/>
      <c r="I1" s="15" t="s">
        <v>102</v>
      </c>
      <c r="J1" s="14"/>
      <c r="K1" s="14"/>
    </row>
    <row r="2" spans="2:11" x14ac:dyDescent="0.3">
      <c r="C2" s="14"/>
      <c r="D2" s="14"/>
      <c r="I2" s="16"/>
      <c r="J2" s="16"/>
      <c r="K2" s="16"/>
    </row>
    <row r="3" spans="2:11" x14ac:dyDescent="0.3">
      <c r="B3" t="s">
        <v>97</v>
      </c>
      <c r="C3" t="s">
        <v>98</v>
      </c>
      <c r="D3" t="s">
        <v>99</v>
      </c>
      <c r="E3" t="s">
        <v>100</v>
      </c>
      <c r="I3" s="1"/>
      <c r="J3" s="2"/>
      <c r="K3" s="3"/>
    </row>
    <row r="4" spans="2:11" x14ac:dyDescent="0.3">
      <c r="B4">
        <v>336982</v>
      </c>
      <c r="C4">
        <v>9035.1</v>
      </c>
      <c r="D4">
        <v>1529499.45</v>
      </c>
      <c r="E4">
        <v>712</v>
      </c>
      <c r="I4" s="4"/>
      <c r="J4" s="5"/>
      <c r="K4" s="6"/>
    </row>
    <row r="5" spans="2:11" x14ac:dyDescent="0.3">
      <c r="B5">
        <f>GETPIVOTDATA("[Measures].[Sum of Number_of_Tourists]",$B$3)</f>
        <v>336982</v>
      </c>
      <c r="C5">
        <f>GETPIVOTDATA("[Measures].[Sum of Tourist_Spending_USD]",$B$3)</f>
        <v>9035.1</v>
      </c>
      <c r="D5">
        <f>GETPIVOTDATA("[Measures].[Sum of Tourism_Revenue_USD]",$B$3)</f>
        <v>1529499.45</v>
      </c>
      <c r="E5">
        <f>GETPIVOTDATA("[Measures].[Sum of Number_of_Hotels]",$B$3)</f>
        <v>712</v>
      </c>
      <c r="I5" s="4"/>
      <c r="J5" s="5"/>
      <c r="K5" s="6"/>
    </row>
    <row r="6" spans="2:11" x14ac:dyDescent="0.3">
      <c r="I6" s="4"/>
      <c r="J6" s="5"/>
      <c r="K6" s="6"/>
    </row>
    <row r="7" spans="2:11" x14ac:dyDescent="0.3">
      <c r="I7" s="4"/>
      <c r="J7" s="5"/>
      <c r="K7" s="6"/>
    </row>
    <row r="8" spans="2:11" x14ac:dyDescent="0.3">
      <c r="I8" s="4"/>
      <c r="J8" s="5"/>
      <c r="K8" s="6"/>
    </row>
    <row r="9" spans="2:11" x14ac:dyDescent="0.3">
      <c r="I9" s="4"/>
      <c r="J9" s="5"/>
      <c r="K9" s="6"/>
    </row>
    <row r="10" spans="2:11" x14ac:dyDescent="0.3">
      <c r="I10" s="4"/>
      <c r="J10" s="5"/>
      <c r="K10" s="6"/>
    </row>
    <row r="11" spans="2:11" x14ac:dyDescent="0.3">
      <c r="I11" s="4"/>
      <c r="J11" s="5"/>
      <c r="K11" s="6"/>
    </row>
    <row r="12" spans="2:11" x14ac:dyDescent="0.3">
      <c r="I12" s="4"/>
      <c r="J12" s="5"/>
      <c r="K12" s="6"/>
    </row>
    <row r="13" spans="2:11" x14ac:dyDescent="0.3">
      <c r="I13" s="4"/>
      <c r="J13" s="5"/>
      <c r="K13" s="6"/>
    </row>
    <row r="14" spans="2:11" x14ac:dyDescent="0.3">
      <c r="I14" s="4"/>
      <c r="J14" s="5"/>
      <c r="K14" s="6"/>
    </row>
    <row r="15" spans="2:11" x14ac:dyDescent="0.3">
      <c r="B15" s="10" t="s">
        <v>103</v>
      </c>
      <c r="C15" t="s">
        <v>98</v>
      </c>
      <c r="I15" s="4"/>
      <c r="J15" s="5"/>
      <c r="K15" s="6"/>
    </row>
    <row r="16" spans="2:11" x14ac:dyDescent="0.3">
      <c r="B16" s="11" t="s">
        <v>32</v>
      </c>
      <c r="C16">
        <v>9035.1</v>
      </c>
      <c r="I16" s="4"/>
      <c r="J16" s="5"/>
      <c r="K16" s="6"/>
    </row>
    <row r="17" spans="2:11" x14ac:dyDescent="0.3">
      <c r="B17" s="11" t="s">
        <v>104</v>
      </c>
      <c r="C17">
        <v>9035.1</v>
      </c>
      <c r="I17" s="4"/>
      <c r="J17" s="5"/>
      <c r="K17" s="6"/>
    </row>
    <row r="18" spans="2:11" x14ac:dyDescent="0.3">
      <c r="I18" s="4"/>
      <c r="J18" s="5"/>
      <c r="K18" s="6"/>
    </row>
    <row r="19" spans="2:11" x14ac:dyDescent="0.3">
      <c r="I19" s="4"/>
      <c r="J19" s="5"/>
      <c r="K19" s="6"/>
    </row>
    <row r="20" spans="2:11" x14ac:dyDescent="0.3">
      <c r="I20" s="7"/>
      <c r="J20" s="8"/>
      <c r="K20" s="9"/>
    </row>
    <row r="43" spans="2:3" x14ac:dyDescent="0.3">
      <c r="B43" s="10" t="s">
        <v>103</v>
      </c>
      <c r="C43" t="s">
        <v>97</v>
      </c>
    </row>
    <row r="44" spans="2:3" x14ac:dyDescent="0.3">
      <c r="B44" s="11" t="s">
        <v>25</v>
      </c>
      <c r="C44">
        <v>336982</v>
      </c>
    </row>
    <row r="45" spans="2:3" x14ac:dyDescent="0.3">
      <c r="B45" s="11" t="s">
        <v>104</v>
      </c>
      <c r="C45">
        <v>336982</v>
      </c>
    </row>
    <row r="58" spans="2:2" x14ac:dyDescent="0.3">
      <c r="B58" s="10" t="s">
        <v>103</v>
      </c>
    </row>
    <row r="59" spans="2:2" x14ac:dyDescent="0.3">
      <c r="B59" s="11">
        <v>159556</v>
      </c>
    </row>
    <row r="60" spans="2:2" x14ac:dyDescent="0.3">
      <c r="B60" s="11">
        <v>177426</v>
      </c>
    </row>
    <row r="61" spans="2:2" x14ac:dyDescent="0.3">
      <c r="B61" s="11" t="s">
        <v>104</v>
      </c>
    </row>
    <row r="63" spans="2:2" x14ac:dyDescent="0.3">
      <c r="B63" s="12" t="e" vm="1">
        <v>#VALUE!</v>
      </c>
    </row>
    <row r="72" spans="2:3" x14ac:dyDescent="0.3">
      <c r="B72" s="10" t="s">
        <v>103</v>
      </c>
      <c r="C72" t="s">
        <v>98</v>
      </c>
    </row>
    <row r="73" spans="2:3" x14ac:dyDescent="0.3">
      <c r="B73" s="11">
        <v>2020</v>
      </c>
      <c r="C73">
        <v>9035.1</v>
      </c>
    </row>
    <row r="74" spans="2:3" x14ac:dyDescent="0.3">
      <c r="B74" s="11" t="s">
        <v>104</v>
      </c>
      <c r="C74">
        <v>9035.1</v>
      </c>
    </row>
    <row r="92" spans="3:4" x14ac:dyDescent="0.3">
      <c r="C92" s="10" t="s">
        <v>103</v>
      </c>
      <c r="D92" t="s">
        <v>100</v>
      </c>
    </row>
    <row r="93" spans="3:4" x14ac:dyDescent="0.3">
      <c r="C93" s="11" t="s">
        <v>49</v>
      </c>
      <c r="D93">
        <v>18011</v>
      </c>
    </row>
    <row r="94" spans="3:4" x14ac:dyDescent="0.3">
      <c r="C94" s="11" t="s">
        <v>16</v>
      </c>
      <c r="D94">
        <v>17128</v>
      </c>
    </row>
    <row r="95" spans="3:4" x14ac:dyDescent="0.3">
      <c r="C95" s="11" t="s">
        <v>25</v>
      </c>
      <c r="D95">
        <v>23722</v>
      </c>
    </row>
    <row r="96" spans="3:4" x14ac:dyDescent="0.3">
      <c r="C96" s="11" t="s">
        <v>37</v>
      </c>
      <c r="D96">
        <v>20730</v>
      </c>
    </row>
    <row r="97" spans="2:4" x14ac:dyDescent="0.3">
      <c r="C97" s="11" t="s">
        <v>22</v>
      </c>
      <c r="D97">
        <v>18545</v>
      </c>
    </row>
    <row r="98" spans="2:4" x14ac:dyDescent="0.3">
      <c r="C98" s="11" t="s">
        <v>47</v>
      </c>
      <c r="D98">
        <v>19785</v>
      </c>
    </row>
    <row r="99" spans="2:4" x14ac:dyDescent="0.3">
      <c r="C99" s="11" t="s">
        <v>19</v>
      </c>
      <c r="D99">
        <v>18891</v>
      </c>
    </row>
    <row r="100" spans="2:4" x14ac:dyDescent="0.3">
      <c r="C100" s="11" t="s">
        <v>104</v>
      </c>
      <c r="D100">
        <v>136812</v>
      </c>
    </row>
    <row r="106" spans="2:4" x14ac:dyDescent="0.3">
      <c r="B106" t="e" vm="2">
        <v>#VALUE!</v>
      </c>
    </row>
    <row r="109" spans="2:4" x14ac:dyDescent="0.3">
      <c r="B109" s="10" t="s">
        <v>103</v>
      </c>
      <c r="C109" t="s">
        <v>106</v>
      </c>
    </row>
    <row r="110" spans="2:4" x14ac:dyDescent="0.3">
      <c r="B110" s="11" t="s">
        <v>63</v>
      </c>
      <c r="C110">
        <v>867795</v>
      </c>
    </row>
    <row r="111" spans="2:4" x14ac:dyDescent="0.3">
      <c r="B111" s="11" t="s">
        <v>61</v>
      </c>
      <c r="C111">
        <v>858502</v>
      </c>
    </row>
    <row r="112" spans="2:4" x14ac:dyDescent="0.3">
      <c r="B112" s="11" t="s">
        <v>53</v>
      </c>
      <c r="C112">
        <v>919085</v>
      </c>
    </row>
    <row r="113" spans="2:3" x14ac:dyDescent="0.3">
      <c r="B113" s="11" t="s">
        <v>26</v>
      </c>
      <c r="C113">
        <v>844656</v>
      </c>
    </row>
    <row r="114" spans="2:3" x14ac:dyDescent="0.3">
      <c r="B114" s="11" t="s">
        <v>43</v>
      </c>
      <c r="C114">
        <v>812507</v>
      </c>
    </row>
    <row r="115" spans="2:3" x14ac:dyDescent="0.3">
      <c r="B115" s="11" t="s">
        <v>17</v>
      </c>
      <c r="C115">
        <v>817184</v>
      </c>
    </row>
    <row r="116" spans="2:3" x14ac:dyDescent="0.3">
      <c r="B116" s="11" t="s">
        <v>14</v>
      </c>
      <c r="C116">
        <v>899872</v>
      </c>
    </row>
    <row r="117" spans="2:3" x14ac:dyDescent="0.3">
      <c r="B117" s="11" t="s">
        <v>69</v>
      </c>
      <c r="C117">
        <v>903491</v>
      </c>
    </row>
    <row r="118" spans="2:3" x14ac:dyDescent="0.3">
      <c r="B118" s="11" t="s">
        <v>50</v>
      </c>
      <c r="C118">
        <v>768082</v>
      </c>
    </row>
    <row r="119" spans="2:3" x14ac:dyDescent="0.3">
      <c r="B119" s="11" t="s">
        <v>45</v>
      </c>
      <c r="C119">
        <v>687788</v>
      </c>
    </row>
    <row r="120" spans="2:3" x14ac:dyDescent="0.3">
      <c r="B120" s="11" t="s">
        <v>104</v>
      </c>
      <c r="C120">
        <v>8378962</v>
      </c>
    </row>
    <row r="136" spans="2:3" x14ac:dyDescent="0.3">
      <c r="B136" s="10" t="s">
        <v>103</v>
      </c>
      <c r="C136" t="s">
        <v>105</v>
      </c>
    </row>
    <row r="137" spans="2:3" x14ac:dyDescent="0.3">
      <c r="B137" s="11" t="s">
        <v>32</v>
      </c>
      <c r="C137">
        <v>13987</v>
      </c>
    </row>
    <row r="138" spans="2:3" x14ac:dyDescent="0.3">
      <c r="B138" s="11" t="s">
        <v>104</v>
      </c>
      <c r="C138">
        <v>13987</v>
      </c>
    </row>
  </sheetData>
  <mergeCells count="2">
    <mergeCell ref="C1:D2"/>
    <mergeCell ref="I1:K2"/>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1851-6CD6-4319-AC11-7939E12785C6}">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C2E8-2B8C-4D93-9E96-79B17BBD57F3}">
  <dimension ref="A1:N501"/>
  <sheetViews>
    <sheetView tabSelected="1" topLeftCell="A2" workbookViewId="0">
      <selection activeCell="D17" sqref="D17"/>
    </sheetView>
  </sheetViews>
  <sheetFormatPr defaultRowHeight="14.4" x14ac:dyDescent="0.3"/>
  <cols>
    <col min="1" max="1" width="22.88671875" customWidth="1"/>
    <col min="2" max="2" width="13.44140625" customWidth="1"/>
    <col min="4" max="4" width="20.109375" customWidth="1"/>
    <col min="5" max="5" width="17.109375" customWidth="1"/>
    <col min="6" max="6" width="22.109375" customWidth="1"/>
    <col min="7" max="7" width="19.21875" customWidth="1"/>
    <col min="8" max="8" width="25.44140625" customWidth="1"/>
    <col min="9" max="9" width="22.6640625" customWidth="1"/>
    <col min="10" max="10" width="25.88671875" customWidth="1"/>
    <col min="11" max="11" width="18.88671875" customWidth="1"/>
    <col min="12" max="12" width="24.88671875" customWidth="1"/>
    <col min="13" max="13" width="26.5546875" customWidth="1"/>
    <col min="14" max="14" width="28.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2022</v>
      </c>
      <c r="D2">
        <v>171958</v>
      </c>
      <c r="E2" t="s">
        <v>16</v>
      </c>
      <c r="F2">
        <v>1325.46</v>
      </c>
      <c r="G2">
        <v>70</v>
      </c>
      <c r="H2">
        <v>120.21</v>
      </c>
      <c r="I2">
        <v>227923.45</v>
      </c>
      <c r="J2">
        <v>21850</v>
      </c>
      <c r="K2">
        <v>3944</v>
      </c>
      <c r="L2">
        <v>225203</v>
      </c>
      <c r="M2">
        <v>48484.36</v>
      </c>
      <c r="N2">
        <v>2533</v>
      </c>
    </row>
    <row r="3" spans="1:14" x14ac:dyDescent="0.3">
      <c r="A3" t="s">
        <v>17</v>
      </c>
      <c r="B3" t="s">
        <v>18</v>
      </c>
      <c r="C3">
        <v>2020</v>
      </c>
      <c r="D3">
        <v>55311</v>
      </c>
      <c r="E3" t="s">
        <v>19</v>
      </c>
      <c r="F3">
        <v>3278.67</v>
      </c>
      <c r="G3">
        <v>302</v>
      </c>
      <c r="H3">
        <v>244.38</v>
      </c>
      <c r="I3">
        <v>181346.52</v>
      </c>
      <c r="J3">
        <v>46434</v>
      </c>
      <c r="K3">
        <v>2547</v>
      </c>
      <c r="L3">
        <v>704811</v>
      </c>
      <c r="M3">
        <v>19620.39</v>
      </c>
      <c r="N3">
        <v>1367</v>
      </c>
    </row>
    <row r="4" spans="1:14" x14ac:dyDescent="0.3">
      <c r="A4" t="s">
        <v>20</v>
      </c>
      <c r="B4" t="s">
        <v>21</v>
      </c>
      <c r="C4">
        <v>2022</v>
      </c>
      <c r="D4">
        <v>81551</v>
      </c>
      <c r="E4" t="s">
        <v>22</v>
      </c>
      <c r="F4">
        <v>4369.7299999999996</v>
      </c>
      <c r="G4">
        <v>378</v>
      </c>
      <c r="H4">
        <v>79.27</v>
      </c>
      <c r="I4">
        <v>356355.85</v>
      </c>
      <c r="J4">
        <v>15627</v>
      </c>
      <c r="K4">
        <v>2561</v>
      </c>
      <c r="L4">
        <v>255041</v>
      </c>
      <c r="M4">
        <v>19240.21</v>
      </c>
      <c r="N4">
        <v>875</v>
      </c>
    </row>
    <row r="5" spans="1:14" x14ac:dyDescent="0.3">
      <c r="A5" t="s">
        <v>23</v>
      </c>
      <c r="B5" t="s">
        <v>24</v>
      </c>
      <c r="C5">
        <v>2021</v>
      </c>
      <c r="D5">
        <v>160510</v>
      </c>
      <c r="E5" t="s">
        <v>25</v>
      </c>
      <c r="F5">
        <v>2259.77</v>
      </c>
      <c r="G5">
        <v>437</v>
      </c>
      <c r="H5">
        <v>190.27</v>
      </c>
      <c r="I5">
        <v>362715.68</v>
      </c>
      <c r="J5">
        <v>16653</v>
      </c>
      <c r="K5">
        <v>4343</v>
      </c>
      <c r="L5">
        <v>221829</v>
      </c>
      <c r="M5">
        <v>94513.26</v>
      </c>
      <c r="N5">
        <v>7729</v>
      </c>
    </row>
    <row r="6" spans="1:14" x14ac:dyDescent="0.3">
      <c r="A6" t="s">
        <v>26</v>
      </c>
      <c r="B6" t="s">
        <v>27</v>
      </c>
      <c r="C6">
        <v>2022</v>
      </c>
      <c r="D6">
        <v>141387</v>
      </c>
      <c r="E6" t="s">
        <v>16</v>
      </c>
      <c r="F6">
        <v>1963.99</v>
      </c>
      <c r="G6">
        <v>387</v>
      </c>
      <c r="H6">
        <v>292.86</v>
      </c>
      <c r="I6">
        <v>277682.65000000002</v>
      </c>
      <c r="J6">
        <v>26271</v>
      </c>
      <c r="K6">
        <v>879</v>
      </c>
      <c r="L6">
        <v>566588</v>
      </c>
      <c r="M6">
        <v>69573.179999999993</v>
      </c>
      <c r="N6">
        <v>2127</v>
      </c>
    </row>
    <row r="7" spans="1:14" x14ac:dyDescent="0.3">
      <c r="A7" t="s">
        <v>14</v>
      </c>
      <c r="B7" t="s">
        <v>28</v>
      </c>
      <c r="C7">
        <v>2023</v>
      </c>
      <c r="D7">
        <v>183767</v>
      </c>
      <c r="E7" t="s">
        <v>19</v>
      </c>
      <c r="F7">
        <v>4169.58</v>
      </c>
      <c r="G7">
        <v>212</v>
      </c>
      <c r="H7">
        <v>405.58</v>
      </c>
      <c r="I7">
        <v>766231.21</v>
      </c>
      <c r="J7">
        <v>17666</v>
      </c>
      <c r="K7">
        <v>2778</v>
      </c>
      <c r="L7">
        <v>900937</v>
      </c>
      <c r="M7">
        <v>203645.76</v>
      </c>
      <c r="N7">
        <v>2554</v>
      </c>
    </row>
    <row r="8" spans="1:14" x14ac:dyDescent="0.3">
      <c r="A8" t="s">
        <v>20</v>
      </c>
      <c r="B8" t="s">
        <v>29</v>
      </c>
      <c r="C8">
        <v>2020</v>
      </c>
      <c r="D8">
        <v>127373</v>
      </c>
      <c r="E8" t="s">
        <v>19</v>
      </c>
      <c r="F8">
        <v>3783.23</v>
      </c>
      <c r="G8">
        <v>84</v>
      </c>
      <c r="H8">
        <v>262.5</v>
      </c>
      <c r="I8">
        <v>481881.35</v>
      </c>
      <c r="J8">
        <v>13110</v>
      </c>
      <c r="K8">
        <v>4340</v>
      </c>
      <c r="L8">
        <v>264020</v>
      </c>
      <c r="M8">
        <v>116972.74</v>
      </c>
      <c r="N8">
        <v>7821</v>
      </c>
    </row>
    <row r="9" spans="1:14" x14ac:dyDescent="0.3">
      <c r="A9" t="s">
        <v>30</v>
      </c>
      <c r="B9" t="s">
        <v>31</v>
      </c>
      <c r="C9">
        <v>2020</v>
      </c>
      <c r="D9">
        <v>73419</v>
      </c>
      <c r="E9" t="s">
        <v>19</v>
      </c>
      <c r="F9">
        <v>641.42999999999995</v>
      </c>
      <c r="G9">
        <v>101</v>
      </c>
      <c r="H9">
        <v>303.47000000000003</v>
      </c>
      <c r="I9">
        <v>47093.15</v>
      </c>
      <c r="J9">
        <v>27403</v>
      </c>
      <c r="K9">
        <v>2178</v>
      </c>
      <c r="L9">
        <v>823290</v>
      </c>
      <c r="M9">
        <v>13455.14</v>
      </c>
      <c r="N9">
        <v>9889</v>
      </c>
    </row>
    <row r="10" spans="1:14" x14ac:dyDescent="0.3">
      <c r="A10" t="s">
        <v>32</v>
      </c>
      <c r="B10" t="s">
        <v>33</v>
      </c>
      <c r="C10">
        <v>2020</v>
      </c>
      <c r="D10">
        <v>159556</v>
      </c>
      <c r="E10" t="s">
        <v>25</v>
      </c>
      <c r="F10">
        <v>4116.5200000000004</v>
      </c>
      <c r="G10">
        <v>335</v>
      </c>
      <c r="H10">
        <v>447.48</v>
      </c>
      <c r="I10">
        <v>656815.47</v>
      </c>
      <c r="J10">
        <v>23047</v>
      </c>
      <c r="K10">
        <v>3802</v>
      </c>
      <c r="L10">
        <v>437261</v>
      </c>
      <c r="M10">
        <v>70268.61</v>
      </c>
      <c r="N10">
        <v>7626</v>
      </c>
    </row>
    <row r="11" spans="1:14" x14ac:dyDescent="0.3">
      <c r="A11" t="s">
        <v>34</v>
      </c>
      <c r="B11" t="s">
        <v>35</v>
      </c>
      <c r="C11">
        <v>2024</v>
      </c>
      <c r="D11">
        <v>71959</v>
      </c>
      <c r="E11" t="s">
        <v>22</v>
      </c>
      <c r="F11">
        <v>2681.73</v>
      </c>
      <c r="G11">
        <v>283</v>
      </c>
      <c r="H11">
        <v>201.93</v>
      </c>
      <c r="I11">
        <v>192974.61</v>
      </c>
      <c r="J11">
        <v>39766</v>
      </c>
      <c r="K11">
        <v>4243</v>
      </c>
      <c r="L11">
        <v>643128</v>
      </c>
      <c r="M11">
        <v>12779.37</v>
      </c>
      <c r="N11">
        <v>7654</v>
      </c>
    </row>
    <row r="12" spans="1:14" x14ac:dyDescent="0.3">
      <c r="A12" t="s">
        <v>17</v>
      </c>
      <c r="B12" t="s">
        <v>36</v>
      </c>
      <c r="C12">
        <v>2021</v>
      </c>
      <c r="D12">
        <v>117172</v>
      </c>
      <c r="E12" t="s">
        <v>37</v>
      </c>
      <c r="F12">
        <v>665.99</v>
      </c>
      <c r="G12">
        <v>179</v>
      </c>
      <c r="H12">
        <v>234.97</v>
      </c>
      <c r="I12">
        <v>78035.38</v>
      </c>
      <c r="J12">
        <v>5854</v>
      </c>
      <c r="K12">
        <v>3974</v>
      </c>
      <c r="L12">
        <v>227789</v>
      </c>
      <c r="M12">
        <v>13450.43</v>
      </c>
      <c r="N12">
        <v>302</v>
      </c>
    </row>
    <row r="13" spans="1:14" x14ac:dyDescent="0.3">
      <c r="A13" t="s">
        <v>38</v>
      </c>
      <c r="B13" t="s">
        <v>39</v>
      </c>
      <c r="C13">
        <v>2022</v>
      </c>
      <c r="D13">
        <v>159751</v>
      </c>
      <c r="E13" t="s">
        <v>25</v>
      </c>
      <c r="F13">
        <v>3776.97</v>
      </c>
      <c r="G13">
        <v>421</v>
      </c>
      <c r="H13">
        <v>492.54</v>
      </c>
      <c r="I13">
        <v>603374.73</v>
      </c>
      <c r="J13">
        <v>28509</v>
      </c>
      <c r="K13">
        <v>1108</v>
      </c>
      <c r="L13">
        <v>405528</v>
      </c>
      <c r="M13">
        <v>58303.88</v>
      </c>
      <c r="N13">
        <v>6646</v>
      </c>
    </row>
    <row r="14" spans="1:14" x14ac:dyDescent="0.3">
      <c r="A14" t="s">
        <v>40</v>
      </c>
      <c r="B14" t="s">
        <v>41</v>
      </c>
      <c r="C14">
        <v>2022</v>
      </c>
      <c r="D14">
        <v>174249</v>
      </c>
      <c r="E14" t="s">
        <v>25</v>
      </c>
      <c r="F14">
        <v>1519.23</v>
      </c>
      <c r="G14">
        <v>357</v>
      </c>
      <c r="H14">
        <v>473.24</v>
      </c>
      <c r="I14">
        <v>264724.31</v>
      </c>
      <c r="J14">
        <v>23343</v>
      </c>
      <c r="K14">
        <v>2885</v>
      </c>
      <c r="L14">
        <v>323255</v>
      </c>
      <c r="M14">
        <v>35808.35</v>
      </c>
      <c r="N14">
        <v>362</v>
      </c>
    </row>
    <row r="15" spans="1:14" x14ac:dyDescent="0.3">
      <c r="A15" t="s">
        <v>38</v>
      </c>
      <c r="B15" t="s">
        <v>42</v>
      </c>
      <c r="C15">
        <v>2023</v>
      </c>
      <c r="D15">
        <v>96843</v>
      </c>
      <c r="E15" t="s">
        <v>16</v>
      </c>
      <c r="F15">
        <v>4919.76</v>
      </c>
      <c r="G15">
        <v>418</v>
      </c>
      <c r="H15">
        <v>158.83000000000001</v>
      </c>
      <c r="I15">
        <v>476444.32</v>
      </c>
      <c r="J15">
        <v>43191</v>
      </c>
      <c r="K15">
        <v>3608</v>
      </c>
      <c r="L15">
        <v>341999</v>
      </c>
      <c r="M15">
        <v>64204.42</v>
      </c>
      <c r="N15">
        <v>6395</v>
      </c>
    </row>
    <row r="16" spans="1:14" x14ac:dyDescent="0.3">
      <c r="A16" t="s">
        <v>43</v>
      </c>
      <c r="B16" t="s">
        <v>44</v>
      </c>
      <c r="C16">
        <v>2021</v>
      </c>
      <c r="D16">
        <v>170885</v>
      </c>
      <c r="E16" t="s">
        <v>25</v>
      </c>
      <c r="F16">
        <v>3389.14</v>
      </c>
      <c r="G16">
        <v>469</v>
      </c>
      <c r="H16">
        <v>454.35</v>
      </c>
      <c r="I16">
        <v>579153.18999999994</v>
      </c>
      <c r="J16">
        <v>7557</v>
      </c>
      <c r="K16">
        <v>2700</v>
      </c>
      <c r="L16">
        <v>817836</v>
      </c>
      <c r="M16">
        <v>73170.77</v>
      </c>
      <c r="N16">
        <v>8452</v>
      </c>
    </row>
    <row r="17" spans="1:14" x14ac:dyDescent="0.3">
      <c r="A17" t="s">
        <v>45</v>
      </c>
      <c r="B17" t="s">
        <v>46</v>
      </c>
      <c r="C17">
        <v>2023</v>
      </c>
      <c r="D17">
        <v>88467</v>
      </c>
      <c r="E17" t="s">
        <v>47</v>
      </c>
      <c r="F17">
        <v>1964.3</v>
      </c>
      <c r="G17">
        <v>433</v>
      </c>
      <c r="H17">
        <v>384.88</v>
      </c>
      <c r="I17">
        <v>173775.73</v>
      </c>
      <c r="J17">
        <v>38986</v>
      </c>
      <c r="K17">
        <v>3604</v>
      </c>
      <c r="L17">
        <v>306687</v>
      </c>
      <c r="M17">
        <v>24663.81</v>
      </c>
      <c r="N17">
        <v>3536</v>
      </c>
    </row>
    <row r="18" spans="1:14" x14ac:dyDescent="0.3">
      <c r="A18" t="s">
        <v>43</v>
      </c>
      <c r="B18" t="s">
        <v>48</v>
      </c>
      <c r="C18">
        <v>2021</v>
      </c>
      <c r="D18">
        <v>126213</v>
      </c>
      <c r="E18" t="s">
        <v>49</v>
      </c>
      <c r="F18">
        <v>2454.77</v>
      </c>
      <c r="G18">
        <v>146</v>
      </c>
      <c r="H18">
        <v>309.61</v>
      </c>
      <c r="I18">
        <v>309823.89</v>
      </c>
      <c r="J18">
        <v>46919</v>
      </c>
      <c r="K18">
        <v>3567</v>
      </c>
      <c r="L18">
        <v>221836</v>
      </c>
      <c r="M18">
        <v>59796.34</v>
      </c>
      <c r="N18">
        <v>2305</v>
      </c>
    </row>
    <row r="19" spans="1:14" x14ac:dyDescent="0.3">
      <c r="A19" t="s">
        <v>50</v>
      </c>
      <c r="B19" t="s">
        <v>51</v>
      </c>
      <c r="C19">
        <v>2021</v>
      </c>
      <c r="D19">
        <v>93484</v>
      </c>
      <c r="E19" t="s">
        <v>19</v>
      </c>
      <c r="F19">
        <v>4475.72</v>
      </c>
      <c r="G19">
        <v>86</v>
      </c>
      <c r="H19">
        <v>467.74</v>
      </c>
      <c r="I19">
        <v>418408.21</v>
      </c>
      <c r="J19">
        <v>36216</v>
      </c>
      <c r="K19">
        <v>1106</v>
      </c>
      <c r="L19">
        <v>509451</v>
      </c>
      <c r="M19">
        <v>51720.37</v>
      </c>
      <c r="N19">
        <v>8419</v>
      </c>
    </row>
    <row r="20" spans="1:14" x14ac:dyDescent="0.3">
      <c r="A20" t="s">
        <v>45</v>
      </c>
      <c r="B20" t="s">
        <v>52</v>
      </c>
      <c r="C20">
        <v>2020</v>
      </c>
      <c r="D20">
        <v>76641</v>
      </c>
      <c r="E20" t="s">
        <v>16</v>
      </c>
      <c r="F20">
        <v>4712.7</v>
      </c>
      <c r="G20">
        <v>409</v>
      </c>
      <c r="H20">
        <v>81.69</v>
      </c>
      <c r="I20">
        <v>361186.04</v>
      </c>
      <c r="J20">
        <v>12455</v>
      </c>
      <c r="K20">
        <v>2186</v>
      </c>
      <c r="L20">
        <v>872209</v>
      </c>
      <c r="M20">
        <v>44723.01</v>
      </c>
      <c r="N20">
        <v>7443</v>
      </c>
    </row>
    <row r="21" spans="1:14" x14ac:dyDescent="0.3">
      <c r="A21" t="s">
        <v>26</v>
      </c>
      <c r="B21" t="s">
        <v>27</v>
      </c>
      <c r="C21">
        <v>2023</v>
      </c>
      <c r="D21">
        <v>155510</v>
      </c>
      <c r="E21" t="s">
        <v>19</v>
      </c>
      <c r="F21">
        <v>4142.13</v>
      </c>
      <c r="G21">
        <v>458</v>
      </c>
      <c r="H21">
        <v>325.18</v>
      </c>
      <c r="I21">
        <v>644142.64</v>
      </c>
      <c r="J21">
        <v>28355</v>
      </c>
      <c r="K21">
        <v>4631</v>
      </c>
      <c r="L21">
        <v>906748</v>
      </c>
      <c r="M21">
        <v>43631.15</v>
      </c>
      <c r="N21">
        <v>9458</v>
      </c>
    </row>
    <row r="22" spans="1:14" x14ac:dyDescent="0.3">
      <c r="A22" t="s">
        <v>53</v>
      </c>
      <c r="B22" t="s">
        <v>54</v>
      </c>
      <c r="C22">
        <v>2024</v>
      </c>
      <c r="D22">
        <v>194475</v>
      </c>
      <c r="E22" t="s">
        <v>19</v>
      </c>
      <c r="F22">
        <v>2473.13</v>
      </c>
      <c r="G22">
        <v>100</v>
      </c>
      <c r="H22">
        <v>259.52</v>
      </c>
      <c r="I22">
        <v>480961.96</v>
      </c>
      <c r="J22">
        <v>27677</v>
      </c>
      <c r="K22">
        <v>2215</v>
      </c>
      <c r="L22">
        <v>120313</v>
      </c>
      <c r="M22">
        <v>67357.600000000006</v>
      </c>
      <c r="N22">
        <v>3151</v>
      </c>
    </row>
    <row r="23" spans="1:14" x14ac:dyDescent="0.3">
      <c r="A23" t="s">
        <v>20</v>
      </c>
      <c r="B23" t="s">
        <v>55</v>
      </c>
      <c r="C23">
        <v>2023</v>
      </c>
      <c r="D23">
        <v>164692</v>
      </c>
      <c r="E23" t="s">
        <v>37</v>
      </c>
      <c r="F23">
        <v>4289.1000000000004</v>
      </c>
      <c r="G23">
        <v>399</v>
      </c>
      <c r="H23">
        <v>293.29000000000002</v>
      </c>
      <c r="I23">
        <v>706380.46</v>
      </c>
      <c r="J23">
        <v>44734</v>
      </c>
      <c r="K23">
        <v>4864</v>
      </c>
      <c r="L23">
        <v>283841</v>
      </c>
      <c r="M23">
        <v>92351.56</v>
      </c>
      <c r="N23">
        <v>9661</v>
      </c>
    </row>
    <row r="24" spans="1:14" x14ac:dyDescent="0.3">
      <c r="A24" t="s">
        <v>40</v>
      </c>
      <c r="B24" t="s">
        <v>41</v>
      </c>
      <c r="C24">
        <v>2023</v>
      </c>
      <c r="D24">
        <v>140852</v>
      </c>
      <c r="E24" t="s">
        <v>22</v>
      </c>
      <c r="F24">
        <v>863.93</v>
      </c>
      <c r="G24">
        <v>445</v>
      </c>
      <c r="H24">
        <v>234.03</v>
      </c>
      <c r="I24">
        <v>121686.27</v>
      </c>
      <c r="J24">
        <v>6081</v>
      </c>
      <c r="K24">
        <v>3349</v>
      </c>
      <c r="L24">
        <v>227247</v>
      </c>
      <c r="M24">
        <v>27823.439999999999</v>
      </c>
      <c r="N24">
        <v>4170</v>
      </c>
    </row>
    <row r="25" spans="1:14" x14ac:dyDescent="0.3">
      <c r="A25" t="s">
        <v>30</v>
      </c>
      <c r="B25" t="s">
        <v>31</v>
      </c>
      <c r="C25">
        <v>2022</v>
      </c>
      <c r="D25">
        <v>79375</v>
      </c>
      <c r="E25" t="s">
        <v>47</v>
      </c>
      <c r="F25">
        <v>3252.74</v>
      </c>
      <c r="G25">
        <v>125</v>
      </c>
      <c r="H25">
        <v>304.72000000000003</v>
      </c>
      <c r="I25">
        <v>258186.23999999999</v>
      </c>
      <c r="J25">
        <v>8506</v>
      </c>
      <c r="K25">
        <v>3244</v>
      </c>
      <c r="L25">
        <v>405612</v>
      </c>
      <c r="M25">
        <v>15878.62</v>
      </c>
      <c r="N25">
        <v>6717</v>
      </c>
    </row>
    <row r="26" spans="1:14" x14ac:dyDescent="0.3">
      <c r="A26" t="s">
        <v>45</v>
      </c>
      <c r="B26" t="s">
        <v>46</v>
      </c>
      <c r="C26">
        <v>2020</v>
      </c>
      <c r="D26">
        <v>171172</v>
      </c>
      <c r="E26" t="s">
        <v>37</v>
      </c>
      <c r="F26">
        <v>1279.4100000000001</v>
      </c>
      <c r="G26">
        <v>72</v>
      </c>
      <c r="H26">
        <v>71.63</v>
      </c>
      <c r="I26">
        <v>218999.17</v>
      </c>
      <c r="J26">
        <v>19069</v>
      </c>
      <c r="K26">
        <v>3349</v>
      </c>
      <c r="L26">
        <v>700419</v>
      </c>
      <c r="M26">
        <v>45215.66</v>
      </c>
      <c r="N26">
        <v>4711</v>
      </c>
    </row>
    <row r="27" spans="1:14" x14ac:dyDescent="0.3">
      <c r="A27" t="s">
        <v>56</v>
      </c>
      <c r="B27" t="s">
        <v>57</v>
      </c>
      <c r="C27">
        <v>2023</v>
      </c>
      <c r="D27">
        <v>77663</v>
      </c>
      <c r="E27" t="s">
        <v>16</v>
      </c>
      <c r="F27">
        <v>3390.89</v>
      </c>
      <c r="G27">
        <v>433</v>
      </c>
      <c r="H27">
        <v>336.38</v>
      </c>
      <c r="I27">
        <v>263346.69</v>
      </c>
      <c r="J27">
        <v>5851</v>
      </c>
      <c r="K27">
        <v>4246</v>
      </c>
      <c r="L27">
        <v>403824</v>
      </c>
      <c r="M27">
        <v>49088.93</v>
      </c>
      <c r="N27">
        <v>4013</v>
      </c>
    </row>
    <row r="28" spans="1:14" x14ac:dyDescent="0.3">
      <c r="A28" t="s">
        <v>43</v>
      </c>
      <c r="B28" t="s">
        <v>58</v>
      </c>
      <c r="C28">
        <v>2022</v>
      </c>
      <c r="D28">
        <v>132986</v>
      </c>
      <c r="E28" t="s">
        <v>25</v>
      </c>
      <c r="F28">
        <v>812.13</v>
      </c>
      <c r="G28">
        <v>435</v>
      </c>
      <c r="H28">
        <v>67.53</v>
      </c>
      <c r="I28">
        <v>108001.92</v>
      </c>
      <c r="J28">
        <v>39850</v>
      </c>
      <c r="K28">
        <v>4685</v>
      </c>
      <c r="L28">
        <v>599639</v>
      </c>
      <c r="M28">
        <v>23803.99</v>
      </c>
      <c r="N28">
        <v>925</v>
      </c>
    </row>
    <row r="29" spans="1:14" x14ac:dyDescent="0.3">
      <c r="A29" t="s">
        <v>59</v>
      </c>
      <c r="B29" t="s">
        <v>60</v>
      </c>
      <c r="C29">
        <v>2023</v>
      </c>
      <c r="D29">
        <v>139588</v>
      </c>
      <c r="E29" t="s">
        <v>37</v>
      </c>
      <c r="F29">
        <v>4714.92</v>
      </c>
      <c r="G29">
        <v>266</v>
      </c>
      <c r="H29">
        <v>411.57</v>
      </c>
      <c r="I29">
        <v>658146.25</v>
      </c>
      <c r="J29">
        <v>32384</v>
      </c>
      <c r="K29">
        <v>3004</v>
      </c>
      <c r="L29">
        <v>741095</v>
      </c>
      <c r="M29">
        <v>195881.62</v>
      </c>
      <c r="N29">
        <v>9979</v>
      </c>
    </row>
    <row r="30" spans="1:14" x14ac:dyDescent="0.3">
      <c r="A30" t="s">
        <v>30</v>
      </c>
      <c r="B30" t="s">
        <v>31</v>
      </c>
      <c r="C30">
        <v>2021</v>
      </c>
      <c r="D30">
        <v>188429</v>
      </c>
      <c r="E30" t="s">
        <v>25</v>
      </c>
      <c r="F30">
        <v>1573.69</v>
      </c>
      <c r="G30">
        <v>328</v>
      </c>
      <c r="H30">
        <v>389.54</v>
      </c>
      <c r="I30">
        <v>296528.83</v>
      </c>
      <c r="J30">
        <v>26352</v>
      </c>
      <c r="K30">
        <v>4452</v>
      </c>
      <c r="L30">
        <v>588685</v>
      </c>
      <c r="M30">
        <v>43709.69</v>
      </c>
      <c r="N30">
        <v>7500</v>
      </c>
    </row>
    <row r="31" spans="1:14" x14ac:dyDescent="0.3">
      <c r="A31" t="s">
        <v>61</v>
      </c>
      <c r="B31" t="s">
        <v>62</v>
      </c>
      <c r="C31">
        <v>2023</v>
      </c>
      <c r="D31">
        <v>109163</v>
      </c>
      <c r="E31" t="s">
        <v>25</v>
      </c>
      <c r="F31">
        <v>4777.7299999999996</v>
      </c>
      <c r="G31">
        <v>416</v>
      </c>
      <c r="H31">
        <v>87.48</v>
      </c>
      <c r="I31">
        <v>521551.34</v>
      </c>
      <c r="J31">
        <v>42259</v>
      </c>
      <c r="K31">
        <v>3438</v>
      </c>
      <c r="L31">
        <v>399652</v>
      </c>
      <c r="M31">
        <v>129289.84</v>
      </c>
      <c r="N31">
        <v>6641</v>
      </c>
    </row>
    <row r="32" spans="1:14" x14ac:dyDescent="0.3">
      <c r="A32" t="s">
        <v>63</v>
      </c>
      <c r="B32" t="s">
        <v>64</v>
      </c>
      <c r="C32">
        <v>2020</v>
      </c>
      <c r="D32">
        <v>176174</v>
      </c>
      <c r="E32" t="s">
        <v>49</v>
      </c>
      <c r="F32">
        <v>3816.66</v>
      </c>
      <c r="G32">
        <v>380</v>
      </c>
      <c r="H32">
        <v>102.68</v>
      </c>
      <c r="I32">
        <v>672396.26</v>
      </c>
      <c r="J32">
        <v>11731</v>
      </c>
      <c r="K32">
        <v>1453</v>
      </c>
      <c r="L32">
        <v>281915</v>
      </c>
      <c r="M32">
        <v>174567.65</v>
      </c>
      <c r="N32">
        <v>7038</v>
      </c>
    </row>
    <row r="33" spans="1:14" x14ac:dyDescent="0.3">
      <c r="A33" t="s">
        <v>14</v>
      </c>
      <c r="B33" t="s">
        <v>28</v>
      </c>
      <c r="C33">
        <v>2023</v>
      </c>
      <c r="D33">
        <v>69065</v>
      </c>
      <c r="E33" t="s">
        <v>49</v>
      </c>
      <c r="F33">
        <v>2809.97</v>
      </c>
      <c r="G33">
        <v>185</v>
      </c>
      <c r="H33">
        <v>218.42</v>
      </c>
      <c r="I33">
        <v>194070.58</v>
      </c>
      <c r="J33">
        <v>31432</v>
      </c>
      <c r="K33">
        <v>2180</v>
      </c>
      <c r="L33">
        <v>742440</v>
      </c>
      <c r="M33">
        <v>26695.29</v>
      </c>
      <c r="N33">
        <v>4286</v>
      </c>
    </row>
    <row r="34" spans="1:14" x14ac:dyDescent="0.3">
      <c r="A34" t="s">
        <v>59</v>
      </c>
      <c r="B34" t="s">
        <v>60</v>
      </c>
      <c r="C34">
        <v>2023</v>
      </c>
      <c r="D34">
        <v>75289</v>
      </c>
      <c r="E34" t="s">
        <v>25</v>
      </c>
      <c r="F34">
        <v>1000.39</v>
      </c>
      <c r="G34">
        <v>190</v>
      </c>
      <c r="H34">
        <v>232.34</v>
      </c>
      <c r="I34">
        <v>75318.36</v>
      </c>
      <c r="J34">
        <v>8709</v>
      </c>
      <c r="K34">
        <v>955</v>
      </c>
      <c r="L34">
        <v>456332</v>
      </c>
      <c r="M34">
        <v>17779.12</v>
      </c>
      <c r="N34">
        <v>1631</v>
      </c>
    </row>
    <row r="35" spans="1:14" x14ac:dyDescent="0.3">
      <c r="A35" t="s">
        <v>34</v>
      </c>
      <c r="B35" t="s">
        <v>65</v>
      </c>
      <c r="C35">
        <v>2024</v>
      </c>
      <c r="D35">
        <v>78016</v>
      </c>
      <c r="E35" t="s">
        <v>16</v>
      </c>
      <c r="F35">
        <v>2877.67</v>
      </c>
      <c r="G35">
        <v>107</v>
      </c>
      <c r="H35">
        <v>55.47</v>
      </c>
      <c r="I35">
        <v>224504.3</v>
      </c>
      <c r="J35">
        <v>27700</v>
      </c>
      <c r="K35">
        <v>4675</v>
      </c>
      <c r="L35">
        <v>536261</v>
      </c>
      <c r="M35">
        <v>62811.57</v>
      </c>
      <c r="N35">
        <v>6290</v>
      </c>
    </row>
    <row r="36" spans="1:14" x14ac:dyDescent="0.3">
      <c r="A36" t="s">
        <v>17</v>
      </c>
      <c r="B36" t="s">
        <v>36</v>
      </c>
      <c r="C36">
        <v>2020</v>
      </c>
      <c r="D36">
        <v>67640</v>
      </c>
      <c r="E36" t="s">
        <v>25</v>
      </c>
      <c r="F36">
        <v>1825.22</v>
      </c>
      <c r="G36">
        <v>103</v>
      </c>
      <c r="H36">
        <v>312.94</v>
      </c>
      <c r="I36">
        <v>123457.88</v>
      </c>
      <c r="J36">
        <v>24087</v>
      </c>
      <c r="K36">
        <v>1853</v>
      </c>
      <c r="L36">
        <v>978479</v>
      </c>
      <c r="M36">
        <v>18349.599999999999</v>
      </c>
      <c r="N36">
        <v>6919</v>
      </c>
    </row>
    <row r="37" spans="1:14" x14ac:dyDescent="0.3">
      <c r="A37" t="s">
        <v>45</v>
      </c>
      <c r="B37" t="s">
        <v>66</v>
      </c>
      <c r="C37">
        <v>2024</v>
      </c>
      <c r="D37">
        <v>111529</v>
      </c>
      <c r="E37" t="s">
        <v>16</v>
      </c>
      <c r="F37">
        <v>1532.28</v>
      </c>
      <c r="G37">
        <v>406</v>
      </c>
      <c r="H37">
        <v>488.48</v>
      </c>
      <c r="I37">
        <v>170893.66</v>
      </c>
      <c r="J37">
        <v>25159</v>
      </c>
      <c r="K37">
        <v>3008</v>
      </c>
      <c r="L37">
        <v>740907</v>
      </c>
      <c r="M37">
        <v>14234.81</v>
      </c>
      <c r="N37">
        <v>4904</v>
      </c>
    </row>
    <row r="38" spans="1:14" x14ac:dyDescent="0.3">
      <c r="A38" t="s">
        <v>34</v>
      </c>
      <c r="B38" t="s">
        <v>67</v>
      </c>
      <c r="C38">
        <v>2022</v>
      </c>
      <c r="D38">
        <v>100990</v>
      </c>
      <c r="E38" t="s">
        <v>49</v>
      </c>
      <c r="F38">
        <v>872.37</v>
      </c>
      <c r="G38">
        <v>300</v>
      </c>
      <c r="H38">
        <v>70.349999999999994</v>
      </c>
      <c r="I38">
        <v>88100.65</v>
      </c>
      <c r="J38">
        <v>6015</v>
      </c>
      <c r="K38">
        <v>3636</v>
      </c>
      <c r="L38">
        <v>674785</v>
      </c>
      <c r="M38">
        <v>7717.99</v>
      </c>
      <c r="N38">
        <v>7038</v>
      </c>
    </row>
    <row r="39" spans="1:14" x14ac:dyDescent="0.3">
      <c r="A39" t="s">
        <v>61</v>
      </c>
      <c r="B39" t="s">
        <v>68</v>
      </c>
      <c r="C39">
        <v>2024</v>
      </c>
      <c r="D39">
        <v>96540</v>
      </c>
      <c r="E39" t="s">
        <v>19</v>
      </c>
      <c r="F39">
        <v>665.7</v>
      </c>
      <c r="G39">
        <v>454</v>
      </c>
      <c r="H39">
        <v>75.37</v>
      </c>
      <c r="I39">
        <v>64266.68</v>
      </c>
      <c r="J39">
        <v>34189</v>
      </c>
      <c r="K39">
        <v>3256</v>
      </c>
      <c r="L39">
        <v>934574</v>
      </c>
      <c r="M39">
        <v>17884.87</v>
      </c>
      <c r="N39">
        <v>4278</v>
      </c>
    </row>
    <row r="40" spans="1:14" x14ac:dyDescent="0.3">
      <c r="A40" t="s">
        <v>43</v>
      </c>
      <c r="B40" t="s">
        <v>44</v>
      </c>
      <c r="C40">
        <v>2023</v>
      </c>
      <c r="D40">
        <v>194528</v>
      </c>
      <c r="E40" t="s">
        <v>19</v>
      </c>
      <c r="F40">
        <v>1422.7</v>
      </c>
      <c r="G40">
        <v>222</v>
      </c>
      <c r="H40">
        <v>322.77999999999997</v>
      </c>
      <c r="I40">
        <v>276754.99</v>
      </c>
      <c r="J40">
        <v>26949</v>
      </c>
      <c r="K40">
        <v>2323</v>
      </c>
      <c r="L40">
        <v>142193</v>
      </c>
      <c r="M40">
        <v>21694.66</v>
      </c>
      <c r="N40">
        <v>4463</v>
      </c>
    </row>
    <row r="41" spans="1:14" x14ac:dyDescent="0.3">
      <c r="A41" t="s">
        <v>69</v>
      </c>
      <c r="B41" t="s">
        <v>70</v>
      </c>
      <c r="C41">
        <v>2023</v>
      </c>
      <c r="D41">
        <v>165765</v>
      </c>
      <c r="E41" t="s">
        <v>47</v>
      </c>
      <c r="F41">
        <v>897.84</v>
      </c>
      <c r="G41">
        <v>450</v>
      </c>
      <c r="H41">
        <v>110.31</v>
      </c>
      <c r="I41">
        <v>148830.45000000001</v>
      </c>
      <c r="J41">
        <v>24758</v>
      </c>
      <c r="K41">
        <v>1752</v>
      </c>
      <c r="L41">
        <v>876196</v>
      </c>
      <c r="M41">
        <v>37395.31</v>
      </c>
      <c r="N41">
        <v>9621</v>
      </c>
    </row>
    <row r="42" spans="1:14" x14ac:dyDescent="0.3">
      <c r="A42" t="s">
        <v>56</v>
      </c>
      <c r="B42" t="s">
        <v>71</v>
      </c>
      <c r="C42">
        <v>2024</v>
      </c>
      <c r="D42">
        <v>105393</v>
      </c>
      <c r="E42" t="s">
        <v>49</v>
      </c>
      <c r="F42">
        <v>2996.67</v>
      </c>
      <c r="G42">
        <v>357</v>
      </c>
      <c r="H42">
        <v>296.35000000000002</v>
      </c>
      <c r="I42">
        <v>315828.03999999998</v>
      </c>
      <c r="J42">
        <v>36703</v>
      </c>
      <c r="K42">
        <v>3677</v>
      </c>
      <c r="L42">
        <v>303490</v>
      </c>
      <c r="M42">
        <v>78678.429999999993</v>
      </c>
      <c r="N42">
        <v>6071</v>
      </c>
    </row>
    <row r="43" spans="1:14" x14ac:dyDescent="0.3">
      <c r="A43" t="s">
        <v>40</v>
      </c>
      <c r="B43" t="s">
        <v>72</v>
      </c>
      <c r="C43">
        <v>2024</v>
      </c>
      <c r="D43">
        <v>175911</v>
      </c>
      <c r="E43" t="s">
        <v>22</v>
      </c>
      <c r="F43">
        <v>3293.63</v>
      </c>
      <c r="G43">
        <v>175</v>
      </c>
      <c r="H43">
        <v>335.03</v>
      </c>
      <c r="I43">
        <v>579385.75</v>
      </c>
      <c r="J43">
        <v>17015</v>
      </c>
      <c r="K43">
        <v>1260</v>
      </c>
      <c r="L43">
        <v>729574</v>
      </c>
      <c r="M43">
        <v>50971.85</v>
      </c>
      <c r="N43">
        <v>8572</v>
      </c>
    </row>
    <row r="44" spans="1:14" x14ac:dyDescent="0.3">
      <c r="A44" t="s">
        <v>43</v>
      </c>
      <c r="B44" t="s">
        <v>58</v>
      </c>
      <c r="C44">
        <v>2020</v>
      </c>
      <c r="D44">
        <v>151570</v>
      </c>
      <c r="E44" t="s">
        <v>25</v>
      </c>
      <c r="F44">
        <v>4879</v>
      </c>
      <c r="G44">
        <v>100</v>
      </c>
      <c r="H44">
        <v>68.39</v>
      </c>
      <c r="I44">
        <v>739510.03</v>
      </c>
      <c r="J44">
        <v>26508</v>
      </c>
      <c r="K44">
        <v>4400</v>
      </c>
      <c r="L44">
        <v>335205</v>
      </c>
      <c r="M44">
        <v>59278.36</v>
      </c>
      <c r="N44">
        <v>7340</v>
      </c>
    </row>
    <row r="45" spans="1:14" x14ac:dyDescent="0.3">
      <c r="A45" t="s">
        <v>73</v>
      </c>
      <c r="B45" t="s">
        <v>74</v>
      </c>
      <c r="C45">
        <v>2022</v>
      </c>
      <c r="D45">
        <v>73321</v>
      </c>
      <c r="E45" t="s">
        <v>16</v>
      </c>
      <c r="F45">
        <v>3325.55</v>
      </c>
      <c r="G45">
        <v>399</v>
      </c>
      <c r="H45">
        <v>120.64</v>
      </c>
      <c r="I45">
        <v>243832.65</v>
      </c>
      <c r="J45">
        <v>9432</v>
      </c>
      <c r="K45">
        <v>2555</v>
      </c>
      <c r="L45">
        <v>964032</v>
      </c>
      <c r="M45">
        <v>72312.05</v>
      </c>
      <c r="N45">
        <v>8250</v>
      </c>
    </row>
    <row r="46" spans="1:14" x14ac:dyDescent="0.3">
      <c r="A46" t="s">
        <v>43</v>
      </c>
      <c r="B46" t="s">
        <v>44</v>
      </c>
      <c r="C46">
        <v>2022</v>
      </c>
      <c r="D46">
        <v>117661</v>
      </c>
      <c r="E46" t="s">
        <v>37</v>
      </c>
      <c r="F46">
        <v>3863.62</v>
      </c>
      <c r="G46">
        <v>361</v>
      </c>
      <c r="H46">
        <v>109.9</v>
      </c>
      <c r="I46">
        <v>454597.39</v>
      </c>
      <c r="J46">
        <v>10122</v>
      </c>
      <c r="K46">
        <v>3297</v>
      </c>
      <c r="L46">
        <v>498874</v>
      </c>
      <c r="M46">
        <v>34909.9</v>
      </c>
      <c r="N46">
        <v>8252</v>
      </c>
    </row>
    <row r="47" spans="1:14" x14ac:dyDescent="0.3">
      <c r="A47" t="s">
        <v>38</v>
      </c>
      <c r="B47" t="s">
        <v>39</v>
      </c>
      <c r="C47">
        <v>2021</v>
      </c>
      <c r="D47">
        <v>161076</v>
      </c>
      <c r="E47" t="s">
        <v>49</v>
      </c>
      <c r="F47">
        <v>3037.84</v>
      </c>
      <c r="G47">
        <v>135</v>
      </c>
      <c r="H47">
        <v>197.37</v>
      </c>
      <c r="I47">
        <v>489323.12</v>
      </c>
      <c r="J47">
        <v>9632</v>
      </c>
      <c r="K47">
        <v>3783</v>
      </c>
      <c r="L47">
        <v>449384</v>
      </c>
      <c r="M47">
        <v>121006.09</v>
      </c>
      <c r="N47">
        <v>8043</v>
      </c>
    </row>
    <row r="48" spans="1:14" x14ac:dyDescent="0.3">
      <c r="A48" t="s">
        <v>14</v>
      </c>
      <c r="B48" t="s">
        <v>15</v>
      </c>
      <c r="C48">
        <v>2022</v>
      </c>
      <c r="D48">
        <v>131264</v>
      </c>
      <c r="E48" t="s">
        <v>25</v>
      </c>
      <c r="F48">
        <v>2204.48</v>
      </c>
      <c r="G48">
        <v>229</v>
      </c>
      <c r="H48">
        <v>340.66</v>
      </c>
      <c r="I48">
        <v>289368.86</v>
      </c>
      <c r="J48">
        <v>39529</v>
      </c>
      <c r="K48">
        <v>2862</v>
      </c>
      <c r="L48">
        <v>853692</v>
      </c>
      <c r="M48">
        <v>82013.78</v>
      </c>
      <c r="N48">
        <v>6867</v>
      </c>
    </row>
    <row r="49" spans="1:14" x14ac:dyDescent="0.3">
      <c r="A49" t="s">
        <v>73</v>
      </c>
      <c r="B49" t="s">
        <v>75</v>
      </c>
      <c r="C49">
        <v>2023</v>
      </c>
      <c r="D49">
        <v>126125</v>
      </c>
      <c r="E49" t="s">
        <v>25</v>
      </c>
      <c r="F49">
        <v>4535.4399999999996</v>
      </c>
      <c r="G49">
        <v>292</v>
      </c>
      <c r="H49">
        <v>58.21</v>
      </c>
      <c r="I49">
        <v>572032.37</v>
      </c>
      <c r="J49">
        <v>9324</v>
      </c>
      <c r="K49">
        <v>505</v>
      </c>
      <c r="L49">
        <v>696465</v>
      </c>
      <c r="M49">
        <v>159796.62</v>
      </c>
      <c r="N49">
        <v>5660</v>
      </c>
    </row>
    <row r="50" spans="1:14" x14ac:dyDescent="0.3">
      <c r="A50" t="s">
        <v>56</v>
      </c>
      <c r="B50" t="s">
        <v>76</v>
      </c>
      <c r="C50">
        <v>2023</v>
      </c>
      <c r="D50">
        <v>103441</v>
      </c>
      <c r="E50" t="s">
        <v>25</v>
      </c>
      <c r="F50">
        <v>3072.26</v>
      </c>
      <c r="G50">
        <v>349</v>
      </c>
      <c r="H50">
        <v>142.28</v>
      </c>
      <c r="I50">
        <v>317797.65000000002</v>
      </c>
      <c r="J50">
        <v>35105</v>
      </c>
      <c r="K50">
        <v>2310</v>
      </c>
      <c r="L50">
        <v>239139</v>
      </c>
      <c r="M50">
        <v>35149.19</v>
      </c>
      <c r="N50">
        <v>1928</v>
      </c>
    </row>
    <row r="51" spans="1:14" x14ac:dyDescent="0.3">
      <c r="A51" t="s">
        <v>50</v>
      </c>
      <c r="B51" t="s">
        <v>77</v>
      </c>
      <c r="C51">
        <v>2024</v>
      </c>
      <c r="D51">
        <v>51917</v>
      </c>
      <c r="E51" t="s">
        <v>25</v>
      </c>
      <c r="F51">
        <v>2665.13</v>
      </c>
      <c r="G51">
        <v>210</v>
      </c>
      <c r="H51">
        <v>216.15</v>
      </c>
      <c r="I51">
        <v>138365.54999999999</v>
      </c>
      <c r="J51">
        <v>5009</v>
      </c>
      <c r="K51">
        <v>2173</v>
      </c>
      <c r="L51">
        <v>969723</v>
      </c>
      <c r="M51">
        <v>30598.560000000001</v>
      </c>
      <c r="N51">
        <v>2924</v>
      </c>
    </row>
    <row r="52" spans="1:14" x14ac:dyDescent="0.3">
      <c r="A52" t="s">
        <v>26</v>
      </c>
      <c r="B52" t="s">
        <v>78</v>
      </c>
      <c r="C52">
        <v>2021</v>
      </c>
      <c r="D52">
        <v>143070</v>
      </c>
      <c r="E52" t="s">
        <v>19</v>
      </c>
      <c r="F52">
        <v>2353.2800000000002</v>
      </c>
      <c r="G52">
        <v>354</v>
      </c>
      <c r="H52">
        <v>432.83</v>
      </c>
      <c r="I52">
        <v>336683.77</v>
      </c>
      <c r="J52">
        <v>17219</v>
      </c>
      <c r="K52">
        <v>4929</v>
      </c>
      <c r="L52">
        <v>379588</v>
      </c>
      <c r="M52">
        <v>95815.19</v>
      </c>
      <c r="N52">
        <v>6051</v>
      </c>
    </row>
    <row r="53" spans="1:14" x14ac:dyDescent="0.3">
      <c r="A53" t="s">
        <v>61</v>
      </c>
      <c r="B53" t="s">
        <v>62</v>
      </c>
      <c r="C53">
        <v>2024</v>
      </c>
      <c r="D53">
        <v>137388</v>
      </c>
      <c r="E53" t="s">
        <v>49</v>
      </c>
      <c r="F53">
        <v>4078.7</v>
      </c>
      <c r="G53">
        <v>335</v>
      </c>
      <c r="H53">
        <v>421.31</v>
      </c>
      <c r="I53">
        <v>560364.43999999994</v>
      </c>
      <c r="J53">
        <v>20524</v>
      </c>
      <c r="K53">
        <v>577</v>
      </c>
      <c r="L53">
        <v>549097</v>
      </c>
      <c r="M53">
        <v>72314.55</v>
      </c>
      <c r="N53">
        <v>7043</v>
      </c>
    </row>
    <row r="54" spans="1:14" x14ac:dyDescent="0.3">
      <c r="A54" t="s">
        <v>17</v>
      </c>
      <c r="B54" t="s">
        <v>18</v>
      </c>
      <c r="C54">
        <v>2021</v>
      </c>
      <c r="D54">
        <v>193026</v>
      </c>
      <c r="E54" t="s">
        <v>37</v>
      </c>
      <c r="F54">
        <v>2929.01</v>
      </c>
      <c r="G54">
        <v>202</v>
      </c>
      <c r="H54">
        <v>209.91</v>
      </c>
      <c r="I54">
        <v>565375.07999999996</v>
      </c>
      <c r="J54">
        <v>16246</v>
      </c>
      <c r="K54">
        <v>2497</v>
      </c>
      <c r="L54">
        <v>964228</v>
      </c>
      <c r="M54">
        <v>116500.91</v>
      </c>
      <c r="N54">
        <v>8235</v>
      </c>
    </row>
    <row r="55" spans="1:14" x14ac:dyDescent="0.3">
      <c r="A55" t="s">
        <v>38</v>
      </c>
      <c r="B55" t="s">
        <v>39</v>
      </c>
      <c r="C55">
        <v>2020</v>
      </c>
      <c r="D55">
        <v>130910</v>
      </c>
      <c r="E55" t="s">
        <v>37</v>
      </c>
      <c r="F55">
        <v>2729.41</v>
      </c>
      <c r="G55">
        <v>460</v>
      </c>
      <c r="H55">
        <v>404.87</v>
      </c>
      <c r="I55">
        <v>357307.06</v>
      </c>
      <c r="J55">
        <v>15789</v>
      </c>
      <c r="K55">
        <v>3568</v>
      </c>
      <c r="L55">
        <v>900916</v>
      </c>
      <c r="M55">
        <v>30650.51</v>
      </c>
      <c r="N55">
        <v>1965</v>
      </c>
    </row>
    <row r="56" spans="1:14" x14ac:dyDescent="0.3">
      <c r="A56" t="s">
        <v>59</v>
      </c>
      <c r="B56" t="s">
        <v>60</v>
      </c>
      <c r="C56">
        <v>2020</v>
      </c>
      <c r="D56">
        <v>96197</v>
      </c>
      <c r="E56" t="s">
        <v>37</v>
      </c>
      <c r="F56">
        <v>997.84</v>
      </c>
      <c r="G56">
        <v>265</v>
      </c>
      <c r="H56">
        <v>321.77999999999997</v>
      </c>
      <c r="I56">
        <v>95989.21</v>
      </c>
      <c r="J56">
        <v>40996</v>
      </c>
      <c r="K56">
        <v>3728</v>
      </c>
      <c r="L56">
        <v>64382</v>
      </c>
      <c r="M56">
        <v>23322.55</v>
      </c>
      <c r="N56">
        <v>893</v>
      </c>
    </row>
    <row r="57" spans="1:14" x14ac:dyDescent="0.3">
      <c r="A57" t="s">
        <v>26</v>
      </c>
      <c r="B57" t="s">
        <v>27</v>
      </c>
      <c r="C57">
        <v>2021</v>
      </c>
      <c r="D57">
        <v>174714</v>
      </c>
      <c r="E57" t="s">
        <v>25</v>
      </c>
      <c r="F57">
        <v>4220.59</v>
      </c>
      <c r="G57">
        <v>409</v>
      </c>
      <c r="H57">
        <v>312.52999999999997</v>
      </c>
      <c r="I57">
        <v>737396.16</v>
      </c>
      <c r="J57">
        <v>17999</v>
      </c>
      <c r="K57">
        <v>845</v>
      </c>
      <c r="L57">
        <v>126077</v>
      </c>
      <c r="M57">
        <v>204968.92</v>
      </c>
      <c r="N57">
        <v>9931</v>
      </c>
    </row>
    <row r="58" spans="1:14" x14ac:dyDescent="0.3">
      <c r="A58" t="s">
        <v>14</v>
      </c>
      <c r="B58" t="s">
        <v>15</v>
      </c>
      <c r="C58">
        <v>2022</v>
      </c>
      <c r="D58">
        <v>77306</v>
      </c>
      <c r="E58" t="s">
        <v>49</v>
      </c>
      <c r="F58">
        <v>3043.1</v>
      </c>
      <c r="G58">
        <v>425</v>
      </c>
      <c r="H58">
        <v>60.36</v>
      </c>
      <c r="I58">
        <v>235249.89</v>
      </c>
      <c r="J58">
        <v>5126</v>
      </c>
      <c r="K58">
        <v>1103</v>
      </c>
      <c r="L58">
        <v>770670</v>
      </c>
      <c r="M58">
        <v>36706.67</v>
      </c>
      <c r="N58">
        <v>1892</v>
      </c>
    </row>
    <row r="59" spans="1:14" x14ac:dyDescent="0.3">
      <c r="A59" t="s">
        <v>14</v>
      </c>
      <c r="B59" t="s">
        <v>28</v>
      </c>
      <c r="C59">
        <v>2020</v>
      </c>
      <c r="D59">
        <v>126589</v>
      </c>
      <c r="E59" t="s">
        <v>37</v>
      </c>
      <c r="F59">
        <v>1244.8399999999999</v>
      </c>
      <c r="G59">
        <v>362</v>
      </c>
      <c r="H59">
        <v>199.47</v>
      </c>
      <c r="I59">
        <v>157583.04999999999</v>
      </c>
      <c r="J59">
        <v>42430</v>
      </c>
      <c r="K59">
        <v>3208</v>
      </c>
      <c r="L59">
        <v>717054</v>
      </c>
      <c r="M59">
        <v>21084.5</v>
      </c>
      <c r="N59">
        <v>8866</v>
      </c>
    </row>
    <row r="60" spans="1:14" x14ac:dyDescent="0.3">
      <c r="A60" t="s">
        <v>45</v>
      </c>
      <c r="B60" t="s">
        <v>79</v>
      </c>
      <c r="C60">
        <v>2020</v>
      </c>
      <c r="D60">
        <v>113731</v>
      </c>
      <c r="E60" t="s">
        <v>19</v>
      </c>
      <c r="F60">
        <v>4639.3500000000004</v>
      </c>
      <c r="G60">
        <v>259</v>
      </c>
      <c r="H60">
        <v>266.38</v>
      </c>
      <c r="I60">
        <v>527637.91</v>
      </c>
      <c r="J60">
        <v>41368</v>
      </c>
      <c r="K60">
        <v>1454</v>
      </c>
      <c r="L60">
        <v>251579</v>
      </c>
      <c r="M60">
        <v>59125.32</v>
      </c>
      <c r="N60">
        <v>6420</v>
      </c>
    </row>
    <row r="61" spans="1:14" x14ac:dyDescent="0.3">
      <c r="A61" t="s">
        <v>45</v>
      </c>
      <c r="B61" t="s">
        <v>80</v>
      </c>
      <c r="C61">
        <v>2022</v>
      </c>
      <c r="D61">
        <v>144270</v>
      </c>
      <c r="E61" t="s">
        <v>49</v>
      </c>
      <c r="F61">
        <v>1490.44</v>
      </c>
      <c r="G61">
        <v>98</v>
      </c>
      <c r="H61">
        <v>130.12</v>
      </c>
      <c r="I61">
        <v>215025.78</v>
      </c>
      <c r="J61">
        <v>24816</v>
      </c>
      <c r="K61">
        <v>4201</v>
      </c>
      <c r="L61">
        <v>205989</v>
      </c>
      <c r="M61">
        <v>64339.7</v>
      </c>
      <c r="N61">
        <v>2582</v>
      </c>
    </row>
    <row r="62" spans="1:14" x14ac:dyDescent="0.3">
      <c r="A62" t="s">
        <v>50</v>
      </c>
      <c r="B62" t="s">
        <v>51</v>
      </c>
      <c r="C62">
        <v>2022</v>
      </c>
      <c r="D62">
        <v>74442</v>
      </c>
      <c r="E62" t="s">
        <v>22</v>
      </c>
      <c r="F62">
        <v>2072.2399999999998</v>
      </c>
      <c r="G62">
        <v>354</v>
      </c>
      <c r="H62">
        <v>66.45</v>
      </c>
      <c r="I62">
        <v>154261.69</v>
      </c>
      <c r="J62">
        <v>29861</v>
      </c>
      <c r="K62">
        <v>2565</v>
      </c>
      <c r="L62">
        <v>476752</v>
      </c>
      <c r="M62">
        <v>25194.36</v>
      </c>
      <c r="N62">
        <v>5897</v>
      </c>
    </row>
    <row r="63" spans="1:14" x14ac:dyDescent="0.3">
      <c r="A63" t="s">
        <v>45</v>
      </c>
      <c r="B63" t="s">
        <v>66</v>
      </c>
      <c r="C63">
        <v>2023</v>
      </c>
      <c r="D63">
        <v>169614</v>
      </c>
      <c r="E63" t="s">
        <v>47</v>
      </c>
      <c r="F63">
        <v>2004.63</v>
      </c>
      <c r="G63">
        <v>180</v>
      </c>
      <c r="H63">
        <v>217.99</v>
      </c>
      <c r="I63">
        <v>340013.31</v>
      </c>
      <c r="J63">
        <v>39249</v>
      </c>
      <c r="K63">
        <v>3951</v>
      </c>
      <c r="L63">
        <v>963376</v>
      </c>
      <c r="M63">
        <v>30274.16</v>
      </c>
      <c r="N63">
        <v>6054</v>
      </c>
    </row>
    <row r="64" spans="1:14" x14ac:dyDescent="0.3">
      <c r="A64" t="s">
        <v>17</v>
      </c>
      <c r="B64" t="s">
        <v>18</v>
      </c>
      <c r="C64">
        <v>2023</v>
      </c>
      <c r="D64">
        <v>80678</v>
      </c>
      <c r="E64" t="s">
        <v>22</v>
      </c>
      <c r="F64">
        <v>588.70000000000005</v>
      </c>
      <c r="G64">
        <v>288</v>
      </c>
      <c r="H64">
        <v>306.25</v>
      </c>
      <c r="I64">
        <v>47495.14</v>
      </c>
      <c r="J64">
        <v>44986</v>
      </c>
      <c r="K64">
        <v>3554</v>
      </c>
      <c r="L64">
        <v>522327</v>
      </c>
      <c r="M64">
        <v>5262.13</v>
      </c>
      <c r="N64">
        <v>4647</v>
      </c>
    </row>
    <row r="65" spans="1:14" x14ac:dyDescent="0.3">
      <c r="A65" t="s">
        <v>56</v>
      </c>
      <c r="B65" t="s">
        <v>57</v>
      </c>
      <c r="C65">
        <v>2022</v>
      </c>
      <c r="D65">
        <v>104771</v>
      </c>
      <c r="E65" t="s">
        <v>49</v>
      </c>
      <c r="F65">
        <v>1422.43</v>
      </c>
      <c r="G65">
        <v>481</v>
      </c>
      <c r="H65">
        <v>89.12</v>
      </c>
      <c r="I65">
        <v>149029.41</v>
      </c>
      <c r="J65">
        <v>9425</v>
      </c>
      <c r="K65">
        <v>2698</v>
      </c>
      <c r="L65">
        <v>758754</v>
      </c>
      <c r="M65">
        <v>40105.46</v>
      </c>
      <c r="N65">
        <v>6952</v>
      </c>
    </row>
    <row r="66" spans="1:14" x14ac:dyDescent="0.3">
      <c r="A66" t="s">
        <v>53</v>
      </c>
      <c r="B66" t="s">
        <v>81</v>
      </c>
      <c r="C66">
        <v>2022</v>
      </c>
      <c r="D66">
        <v>137955</v>
      </c>
      <c r="E66" t="s">
        <v>19</v>
      </c>
      <c r="F66">
        <v>4212.9799999999996</v>
      </c>
      <c r="G66">
        <v>168</v>
      </c>
      <c r="H66">
        <v>170.63</v>
      </c>
      <c r="I66">
        <v>581201.66</v>
      </c>
      <c r="J66">
        <v>19596</v>
      </c>
      <c r="K66">
        <v>1779</v>
      </c>
      <c r="L66">
        <v>244269</v>
      </c>
      <c r="M66">
        <v>154173.62</v>
      </c>
      <c r="N66">
        <v>2779</v>
      </c>
    </row>
    <row r="67" spans="1:14" x14ac:dyDescent="0.3">
      <c r="A67" t="s">
        <v>43</v>
      </c>
      <c r="B67" t="s">
        <v>48</v>
      </c>
      <c r="C67">
        <v>2024</v>
      </c>
      <c r="D67">
        <v>117642</v>
      </c>
      <c r="E67" t="s">
        <v>49</v>
      </c>
      <c r="F67">
        <v>4099.3500000000004</v>
      </c>
      <c r="G67">
        <v>164</v>
      </c>
      <c r="H67">
        <v>280.61</v>
      </c>
      <c r="I67">
        <v>482255.73</v>
      </c>
      <c r="J67">
        <v>17808</v>
      </c>
      <c r="K67">
        <v>736</v>
      </c>
      <c r="L67">
        <v>936040</v>
      </c>
      <c r="M67">
        <v>40914.1</v>
      </c>
      <c r="N67">
        <v>9096</v>
      </c>
    </row>
    <row r="68" spans="1:14" x14ac:dyDescent="0.3">
      <c r="A68" t="s">
        <v>73</v>
      </c>
      <c r="B68" t="s">
        <v>75</v>
      </c>
      <c r="C68">
        <v>2024</v>
      </c>
      <c r="D68">
        <v>131994</v>
      </c>
      <c r="E68" t="s">
        <v>25</v>
      </c>
      <c r="F68">
        <v>2883.48</v>
      </c>
      <c r="G68">
        <v>90</v>
      </c>
      <c r="H68">
        <v>173.32</v>
      </c>
      <c r="I68">
        <v>380602.06</v>
      </c>
      <c r="J68">
        <v>44952</v>
      </c>
      <c r="K68">
        <v>2122</v>
      </c>
      <c r="L68">
        <v>623044</v>
      </c>
      <c r="M68">
        <v>32054.84</v>
      </c>
      <c r="N68">
        <v>6236</v>
      </c>
    </row>
    <row r="69" spans="1:14" x14ac:dyDescent="0.3">
      <c r="A69" t="s">
        <v>17</v>
      </c>
      <c r="B69" t="s">
        <v>82</v>
      </c>
      <c r="C69">
        <v>2022</v>
      </c>
      <c r="D69">
        <v>97924</v>
      </c>
      <c r="E69" t="s">
        <v>47</v>
      </c>
      <c r="F69">
        <v>4614.8500000000004</v>
      </c>
      <c r="G69">
        <v>239</v>
      </c>
      <c r="H69">
        <v>283.51</v>
      </c>
      <c r="I69">
        <v>451904.57</v>
      </c>
      <c r="J69">
        <v>25609</v>
      </c>
      <c r="K69">
        <v>1886</v>
      </c>
      <c r="L69">
        <v>242192</v>
      </c>
      <c r="M69">
        <v>90737.03</v>
      </c>
      <c r="N69">
        <v>7779</v>
      </c>
    </row>
    <row r="70" spans="1:14" x14ac:dyDescent="0.3">
      <c r="A70" t="s">
        <v>43</v>
      </c>
      <c r="B70" t="s">
        <v>48</v>
      </c>
      <c r="C70">
        <v>2024</v>
      </c>
      <c r="D70">
        <v>61046</v>
      </c>
      <c r="E70" t="s">
        <v>25</v>
      </c>
      <c r="F70">
        <v>4771.88</v>
      </c>
      <c r="G70">
        <v>201</v>
      </c>
      <c r="H70">
        <v>471.57</v>
      </c>
      <c r="I70">
        <v>291304.19</v>
      </c>
      <c r="J70">
        <v>28863</v>
      </c>
      <c r="K70">
        <v>1250</v>
      </c>
      <c r="L70">
        <v>294883</v>
      </c>
      <c r="M70">
        <v>75850.490000000005</v>
      </c>
      <c r="N70">
        <v>253</v>
      </c>
    </row>
    <row r="71" spans="1:14" x14ac:dyDescent="0.3">
      <c r="A71" t="s">
        <v>59</v>
      </c>
      <c r="B71" t="s">
        <v>83</v>
      </c>
      <c r="C71">
        <v>2024</v>
      </c>
      <c r="D71">
        <v>182596</v>
      </c>
      <c r="E71" t="s">
        <v>22</v>
      </c>
      <c r="F71">
        <v>2081.9299999999998</v>
      </c>
      <c r="G71">
        <v>110</v>
      </c>
      <c r="H71">
        <v>359.78</v>
      </c>
      <c r="I71">
        <v>380152.09</v>
      </c>
      <c r="J71">
        <v>18350</v>
      </c>
      <c r="K71">
        <v>4069</v>
      </c>
      <c r="L71">
        <v>477236</v>
      </c>
      <c r="M71">
        <v>110975.84</v>
      </c>
      <c r="N71">
        <v>4190</v>
      </c>
    </row>
    <row r="72" spans="1:14" x14ac:dyDescent="0.3">
      <c r="A72" t="s">
        <v>23</v>
      </c>
      <c r="B72" t="s">
        <v>84</v>
      </c>
      <c r="C72">
        <v>2020</v>
      </c>
      <c r="D72">
        <v>56960</v>
      </c>
      <c r="E72" t="s">
        <v>25</v>
      </c>
      <c r="F72">
        <v>4776.07</v>
      </c>
      <c r="G72">
        <v>352</v>
      </c>
      <c r="H72">
        <v>89.02</v>
      </c>
      <c r="I72">
        <v>272044.95</v>
      </c>
      <c r="J72">
        <v>49623</v>
      </c>
      <c r="K72">
        <v>4562</v>
      </c>
      <c r="L72">
        <v>757220</v>
      </c>
      <c r="M72">
        <v>62849.41</v>
      </c>
      <c r="N72">
        <v>5487</v>
      </c>
    </row>
    <row r="73" spans="1:14" x14ac:dyDescent="0.3">
      <c r="A73" t="s">
        <v>56</v>
      </c>
      <c r="B73" t="s">
        <v>76</v>
      </c>
      <c r="C73">
        <v>2020</v>
      </c>
      <c r="D73">
        <v>127454</v>
      </c>
      <c r="E73" t="s">
        <v>22</v>
      </c>
      <c r="F73">
        <v>732.18</v>
      </c>
      <c r="G73">
        <v>337</v>
      </c>
      <c r="H73">
        <v>367.51</v>
      </c>
      <c r="I73">
        <v>93319.27</v>
      </c>
      <c r="J73">
        <v>9806</v>
      </c>
      <c r="K73">
        <v>3657</v>
      </c>
      <c r="L73">
        <v>930889</v>
      </c>
      <c r="M73">
        <v>7477.73</v>
      </c>
      <c r="N73">
        <v>9118</v>
      </c>
    </row>
    <row r="74" spans="1:14" x14ac:dyDescent="0.3">
      <c r="A74" t="s">
        <v>69</v>
      </c>
      <c r="B74" t="s">
        <v>70</v>
      </c>
      <c r="C74">
        <v>2023</v>
      </c>
      <c r="D74">
        <v>187809</v>
      </c>
      <c r="E74" t="s">
        <v>47</v>
      </c>
      <c r="F74">
        <v>746.97</v>
      </c>
      <c r="G74">
        <v>492</v>
      </c>
      <c r="H74">
        <v>423.01</v>
      </c>
      <c r="I74">
        <v>140287.69</v>
      </c>
      <c r="J74">
        <v>26776</v>
      </c>
      <c r="K74">
        <v>3723</v>
      </c>
      <c r="L74">
        <v>171826</v>
      </c>
      <c r="M74">
        <v>23886.15</v>
      </c>
      <c r="N74">
        <v>7226</v>
      </c>
    </row>
    <row r="75" spans="1:14" x14ac:dyDescent="0.3">
      <c r="A75" t="s">
        <v>32</v>
      </c>
      <c r="B75" t="s">
        <v>33</v>
      </c>
      <c r="C75">
        <v>2021</v>
      </c>
      <c r="D75">
        <v>144071</v>
      </c>
      <c r="E75" t="s">
        <v>19</v>
      </c>
      <c r="F75">
        <v>4058.25</v>
      </c>
      <c r="G75">
        <v>259</v>
      </c>
      <c r="H75">
        <v>284.08</v>
      </c>
      <c r="I75">
        <v>584676.14</v>
      </c>
      <c r="J75">
        <v>18737</v>
      </c>
      <c r="K75">
        <v>4021</v>
      </c>
      <c r="L75">
        <v>173618</v>
      </c>
      <c r="M75">
        <v>32342.74</v>
      </c>
      <c r="N75">
        <v>3910</v>
      </c>
    </row>
    <row r="76" spans="1:14" x14ac:dyDescent="0.3">
      <c r="A76" t="s">
        <v>30</v>
      </c>
      <c r="B76" t="s">
        <v>31</v>
      </c>
      <c r="C76">
        <v>2020</v>
      </c>
      <c r="D76">
        <v>146122</v>
      </c>
      <c r="E76" t="s">
        <v>37</v>
      </c>
      <c r="F76">
        <v>2078.1999999999998</v>
      </c>
      <c r="G76">
        <v>367</v>
      </c>
      <c r="H76">
        <v>265.94</v>
      </c>
      <c r="I76">
        <v>303670.74</v>
      </c>
      <c r="J76">
        <v>17984</v>
      </c>
      <c r="K76">
        <v>2271</v>
      </c>
      <c r="L76">
        <v>895038</v>
      </c>
      <c r="M76">
        <v>22145.14</v>
      </c>
      <c r="N76">
        <v>3860</v>
      </c>
    </row>
    <row r="77" spans="1:14" x14ac:dyDescent="0.3">
      <c r="A77" t="s">
        <v>50</v>
      </c>
      <c r="B77" t="s">
        <v>77</v>
      </c>
      <c r="C77">
        <v>2020</v>
      </c>
      <c r="D77">
        <v>52050</v>
      </c>
      <c r="E77" t="s">
        <v>25</v>
      </c>
      <c r="F77">
        <v>1836.51</v>
      </c>
      <c r="G77">
        <v>195</v>
      </c>
      <c r="H77">
        <v>155.12</v>
      </c>
      <c r="I77">
        <v>95590.35</v>
      </c>
      <c r="J77">
        <v>45600</v>
      </c>
      <c r="K77">
        <v>3132</v>
      </c>
      <c r="L77">
        <v>447710</v>
      </c>
      <c r="M77">
        <v>21021.45</v>
      </c>
      <c r="N77">
        <v>9230</v>
      </c>
    </row>
    <row r="78" spans="1:14" x14ac:dyDescent="0.3">
      <c r="A78" t="s">
        <v>43</v>
      </c>
      <c r="B78" t="s">
        <v>58</v>
      </c>
      <c r="C78">
        <v>2023</v>
      </c>
      <c r="D78">
        <v>181878</v>
      </c>
      <c r="E78" t="s">
        <v>25</v>
      </c>
      <c r="F78">
        <v>4751.29</v>
      </c>
      <c r="G78">
        <v>382</v>
      </c>
      <c r="H78">
        <v>495.13</v>
      </c>
      <c r="I78">
        <v>864155.12</v>
      </c>
      <c r="J78">
        <v>29262</v>
      </c>
      <c r="K78">
        <v>1384</v>
      </c>
      <c r="L78">
        <v>376898</v>
      </c>
      <c r="M78">
        <v>93041.38</v>
      </c>
      <c r="N78">
        <v>6502</v>
      </c>
    </row>
    <row r="79" spans="1:14" x14ac:dyDescent="0.3">
      <c r="A79" t="s">
        <v>53</v>
      </c>
      <c r="B79" t="s">
        <v>85</v>
      </c>
      <c r="C79">
        <v>2020</v>
      </c>
      <c r="D79">
        <v>195271</v>
      </c>
      <c r="E79" t="s">
        <v>16</v>
      </c>
      <c r="F79">
        <v>760.29</v>
      </c>
      <c r="G79">
        <v>226</v>
      </c>
      <c r="H79">
        <v>283.22000000000003</v>
      </c>
      <c r="I79">
        <v>148462.59</v>
      </c>
      <c r="J79">
        <v>23297</v>
      </c>
      <c r="K79">
        <v>2414</v>
      </c>
      <c r="L79">
        <v>57657</v>
      </c>
      <c r="M79">
        <v>25653.83</v>
      </c>
      <c r="N79">
        <v>4976</v>
      </c>
    </row>
    <row r="80" spans="1:14" x14ac:dyDescent="0.3">
      <c r="A80" t="s">
        <v>59</v>
      </c>
      <c r="B80" t="s">
        <v>60</v>
      </c>
      <c r="C80">
        <v>2022</v>
      </c>
      <c r="D80">
        <v>57287</v>
      </c>
      <c r="E80" t="s">
        <v>16</v>
      </c>
      <c r="F80">
        <v>656.89</v>
      </c>
      <c r="G80">
        <v>406</v>
      </c>
      <c r="H80">
        <v>91.17</v>
      </c>
      <c r="I80">
        <v>37631.26</v>
      </c>
      <c r="J80">
        <v>23024</v>
      </c>
      <c r="K80">
        <v>3182</v>
      </c>
      <c r="L80">
        <v>567083</v>
      </c>
      <c r="M80">
        <v>2299.0500000000002</v>
      </c>
      <c r="N80">
        <v>9852</v>
      </c>
    </row>
    <row r="81" spans="1:14" x14ac:dyDescent="0.3">
      <c r="A81" t="s">
        <v>56</v>
      </c>
      <c r="B81" t="s">
        <v>71</v>
      </c>
      <c r="C81">
        <v>2021</v>
      </c>
      <c r="D81">
        <v>114772</v>
      </c>
      <c r="E81" t="s">
        <v>19</v>
      </c>
      <c r="F81">
        <v>1766.26</v>
      </c>
      <c r="G81">
        <v>87</v>
      </c>
      <c r="H81">
        <v>166.89</v>
      </c>
      <c r="I81">
        <v>202717.19</v>
      </c>
      <c r="J81">
        <v>8972</v>
      </c>
      <c r="K81">
        <v>1413</v>
      </c>
      <c r="L81">
        <v>942964</v>
      </c>
      <c r="M81">
        <v>44762.93</v>
      </c>
      <c r="N81">
        <v>417</v>
      </c>
    </row>
    <row r="82" spans="1:14" x14ac:dyDescent="0.3">
      <c r="A82" t="s">
        <v>56</v>
      </c>
      <c r="B82" t="s">
        <v>76</v>
      </c>
      <c r="C82">
        <v>2021</v>
      </c>
      <c r="D82">
        <v>52396</v>
      </c>
      <c r="E82" t="s">
        <v>49</v>
      </c>
      <c r="F82">
        <v>3070.94</v>
      </c>
      <c r="G82">
        <v>89</v>
      </c>
      <c r="H82">
        <v>304.58</v>
      </c>
      <c r="I82">
        <v>160904.97</v>
      </c>
      <c r="J82">
        <v>39080</v>
      </c>
      <c r="K82">
        <v>2883</v>
      </c>
      <c r="L82">
        <v>69623</v>
      </c>
      <c r="M82">
        <v>14374.47</v>
      </c>
      <c r="N82">
        <v>4386</v>
      </c>
    </row>
    <row r="83" spans="1:14" x14ac:dyDescent="0.3">
      <c r="A83" t="s">
        <v>43</v>
      </c>
      <c r="B83" t="s">
        <v>44</v>
      </c>
      <c r="C83">
        <v>2020</v>
      </c>
      <c r="D83">
        <v>119274</v>
      </c>
      <c r="E83" t="s">
        <v>16</v>
      </c>
      <c r="F83">
        <v>1213.72</v>
      </c>
      <c r="G83">
        <v>363</v>
      </c>
      <c r="H83">
        <v>259.45999999999998</v>
      </c>
      <c r="I83">
        <v>144765.24</v>
      </c>
      <c r="J83">
        <v>17713</v>
      </c>
      <c r="K83">
        <v>4008</v>
      </c>
      <c r="L83">
        <v>479725</v>
      </c>
      <c r="M83">
        <v>7278.8</v>
      </c>
      <c r="N83">
        <v>5443</v>
      </c>
    </row>
    <row r="84" spans="1:14" x14ac:dyDescent="0.3">
      <c r="A84" t="s">
        <v>73</v>
      </c>
      <c r="B84" t="s">
        <v>75</v>
      </c>
      <c r="C84">
        <v>2022</v>
      </c>
      <c r="D84">
        <v>125418</v>
      </c>
      <c r="E84" t="s">
        <v>25</v>
      </c>
      <c r="F84">
        <v>3343.16</v>
      </c>
      <c r="G84">
        <v>237</v>
      </c>
      <c r="H84">
        <v>54.08</v>
      </c>
      <c r="I84">
        <v>419292.44</v>
      </c>
      <c r="J84">
        <v>6007</v>
      </c>
      <c r="K84">
        <v>4026</v>
      </c>
      <c r="L84">
        <v>79257</v>
      </c>
      <c r="M84">
        <v>109028.77</v>
      </c>
      <c r="N84">
        <v>377</v>
      </c>
    </row>
    <row r="85" spans="1:14" x14ac:dyDescent="0.3">
      <c r="A85" t="s">
        <v>59</v>
      </c>
      <c r="B85" t="s">
        <v>83</v>
      </c>
      <c r="C85">
        <v>2023</v>
      </c>
      <c r="D85">
        <v>194579</v>
      </c>
      <c r="E85" t="s">
        <v>19</v>
      </c>
      <c r="F85">
        <v>3968.84</v>
      </c>
      <c r="G85">
        <v>241</v>
      </c>
      <c r="H85">
        <v>368.68</v>
      </c>
      <c r="I85">
        <v>772252.92</v>
      </c>
      <c r="J85">
        <v>13073</v>
      </c>
      <c r="K85">
        <v>521</v>
      </c>
      <c r="L85">
        <v>333097</v>
      </c>
      <c r="M85">
        <v>203182.57</v>
      </c>
      <c r="N85">
        <v>9054</v>
      </c>
    </row>
    <row r="86" spans="1:14" x14ac:dyDescent="0.3">
      <c r="A86" t="s">
        <v>56</v>
      </c>
      <c r="B86" t="s">
        <v>76</v>
      </c>
      <c r="C86">
        <v>2023</v>
      </c>
      <c r="D86">
        <v>137266</v>
      </c>
      <c r="E86" t="s">
        <v>47</v>
      </c>
      <c r="F86">
        <v>2226.2600000000002</v>
      </c>
      <c r="G86">
        <v>82</v>
      </c>
      <c r="H86">
        <v>195.62</v>
      </c>
      <c r="I86">
        <v>305589.81</v>
      </c>
      <c r="J86">
        <v>32570</v>
      </c>
      <c r="K86">
        <v>4109</v>
      </c>
      <c r="L86">
        <v>61745</v>
      </c>
      <c r="M86">
        <v>91457.26</v>
      </c>
      <c r="N86">
        <v>9178</v>
      </c>
    </row>
    <row r="87" spans="1:14" x14ac:dyDescent="0.3">
      <c r="A87" t="s">
        <v>53</v>
      </c>
      <c r="B87" t="s">
        <v>85</v>
      </c>
      <c r="C87">
        <v>2020</v>
      </c>
      <c r="D87">
        <v>125932</v>
      </c>
      <c r="E87" t="s">
        <v>37</v>
      </c>
      <c r="F87">
        <v>4279.76</v>
      </c>
      <c r="G87">
        <v>133</v>
      </c>
      <c r="H87">
        <v>344.53</v>
      </c>
      <c r="I87">
        <v>538958.74</v>
      </c>
      <c r="J87">
        <v>27042</v>
      </c>
      <c r="K87">
        <v>3953</v>
      </c>
      <c r="L87">
        <v>818747</v>
      </c>
      <c r="M87">
        <v>125479.03999999999</v>
      </c>
      <c r="N87">
        <v>1782</v>
      </c>
    </row>
    <row r="88" spans="1:14" x14ac:dyDescent="0.3">
      <c r="A88" t="s">
        <v>43</v>
      </c>
      <c r="B88" t="s">
        <v>48</v>
      </c>
      <c r="C88">
        <v>2021</v>
      </c>
      <c r="D88">
        <v>178386</v>
      </c>
      <c r="E88" t="s">
        <v>22</v>
      </c>
      <c r="F88">
        <v>1943.34</v>
      </c>
      <c r="G88">
        <v>211</v>
      </c>
      <c r="H88">
        <v>145.9</v>
      </c>
      <c r="I88">
        <v>346664.65</v>
      </c>
      <c r="J88">
        <v>31431</v>
      </c>
      <c r="K88">
        <v>1291</v>
      </c>
      <c r="L88">
        <v>557403</v>
      </c>
      <c r="M88">
        <v>58199.14</v>
      </c>
      <c r="N88">
        <v>3776</v>
      </c>
    </row>
    <row r="89" spans="1:14" x14ac:dyDescent="0.3">
      <c r="A89" t="s">
        <v>61</v>
      </c>
      <c r="B89" t="s">
        <v>68</v>
      </c>
      <c r="C89">
        <v>2020</v>
      </c>
      <c r="D89">
        <v>189783</v>
      </c>
      <c r="E89" t="s">
        <v>37</v>
      </c>
      <c r="F89">
        <v>4301.5200000000004</v>
      </c>
      <c r="G89">
        <v>436</v>
      </c>
      <c r="H89">
        <v>408.56</v>
      </c>
      <c r="I89">
        <v>816355.37</v>
      </c>
      <c r="J89">
        <v>43827</v>
      </c>
      <c r="K89">
        <v>4399</v>
      </c>
      <c r="L89">
        <v>888530</v>
      </c>
      <c r="M89">
        <v>135126.67000000001</v>
      </c>
      <c r="N89">
        <v>1975</v>
      </c>
    </row>
    <row r="90" spans="1:14" x14ac:dyDescent="0.3">
      <c r="A90" t="s">
        <v>50</v>
      </c>
      <c r="B90" t="s">
        <v>86</v>
      </c>
      <c r="C90">
        <v>2022</v>
      </c>
      <c r="D90">
        <v>84531</v>
      </c>
      <c r="E90" t="s">
        <v>37</v>
      </c>
      <c r="F90">
        <v>1514.93</v>
      </c>
      <c r="G90">
        <v>263</v>
      </c>
      <c r="H90">
        <v>311.89</v>
      </c>
      <c r="I90">
        <v>128058.55</v>
      </c>
      <c r="J90">
        <v>40201</v>
      </c>
      <c r="K90">
        <v>894</v>
      </c>
      <c r="L90">
        <v>997263</v>
      </c>
      <c r="M90">
        <v>6774.95</v>
      </c>
      <c r="N90">
        <v>8457</v>
      </c>
    </row>
    <row r="91" spans="1:14" x14ac:dyDescent="0.3">
      <c r="A91" t="s">
        <v>14</v>
      </c>
      <c r="B91" t="s">
        <v>15</v>
      </c>
      <c r="C91">
        <v>2022</v>
      </c>
      <c r="D91">
        <v>56154</v>
      </c>
      <c r="E91" t="s">
        <v>49</v>
      </c>
      <c r="F91">
        <v>4370.55</v>
      </c>
      <c r="G91">
        <v>441</v>
      </c>
      <c r="H91">
        <v>375.93</v>
      </c>
      <c r="I91">
        <v>245423.86</v>
      </c>
      <c r="J91">
        <v>8762</v>
      </c>
      <c r="K91">
        <v>2948</v>
      </c>
      <c r="L91">
        <v>89499</v>
      </c>
      <c r="M91">
        <v>21014.14</v>
      </c>
      <c r="N91">
        <v>9005</v>
      </c>
    </row>
    <row r="92" spans="1:14" x14ac:dyDescent="0.3">
      <c r="A92" t="s">
        <v>61</v>
      </c>
      <c r="B92" t="s">
        <v>62</v>
      </c>
      <c r="C92">
        <v>2024</v>
      </c>
      <c r="D92">
        <v>72431</v>
      </c>
      <c r="E92" t="s">
        <v>16</v>
      </c>
      <c r="F92">
        <v>825.87</v>
      </c>
      <c r="G92">
        <v>282</v>
      </c>
      <c r="H92">
        <v>207.78</v>
      </c>
      <c r="I92">
        <v>59818.59</v>
      </c>
      <c r="J92">
        <v>28116</v>
      </c>
      <c r="K92">
        <v>1417</v>
      </c>
      <c r="L92">
        <v>364470</v>
      </c>
      <c r="M92">
        <v>11478.3</v>
      </c>
      <c r="N92">
        <v>9178</v>
      </c>
    </row>
    <row r="93" spans="1:14" x14ac:dyDescent="0.3">
      <c r="A93" t="s">
        <v>20</v>
      </c>
      <c r="B93" t="s">
        <v>29</v>
      </c>
      <c r="C93">
        <v>2020</v>
      </c>
      <c r="D93">
        <v>112768</v>
      </c>
      <c r="E93" t="s">
        <v>47</v>
      </c>
      <c r="F93">
        <v>1058.99</v>
      </c>
      <c r="G93">
        <v>58</v>
      </c>
      <c r="H93">
        <v>471.3</v>
      </c>
      <c r="I93">
        <v>119420.18</v>
      </c>
      <c r="J93">
        <v>31015</v>
      </c>
      <c r="K93">
        <v>1215</v>
      </c>
      <c r="L93">
        <v>563287</v>
      </c>
      <c r="M93">
        <v>24639.51</v>
      </c>
      <c r="N93">
        <v>558</v>
      </c>
    </row>
    <row r="94" spans="1:14" x14ac:dyDescent="0.3">
      <c r="A94" t="s">
        <v>53</v>
      </c>
      <c r="B94" t="s">
        <v>85</v>
      </c>
      <c r="C94">
        <v>2021</v>
      </c>
      <c r="D94">
        <v>148511</v>
      </c>
      <c r="E94" t="s">
        <v>49</v>
      </c>
      <c r="F94">
        <v>4177.84</v>
      </c>
      <c r="G94">
        <v>52</v>
      </c>
      <c r="H94">
        <v>68.34</v>
      </c>
      <c r="I94">
        <v>620455.19999999995</v>
      </c>
      <c r="J94">
        <v>34545</v>
      </c>
      <c r="K94">
        <v>2634</v>
      </c>
      <c r="L94">
        <v>684379</v>
      </c>
      <c r="M94">
        <v>166248.42000000001</v>
      </c>
      <c r="N94">
        <v>2027</v>
      </c>
    </row>
    <row r="95" spans="1:14" x14ac:dyDescent="0.3">
      <c r="A95" t="s">
        <v>40</v>
      </c>
      <c r="B95" t="s">
        <v>72</v>
      </c>
      <c r="C95">
        <v>2023</v>
      </c>
      <c r="D95">
        <v>78380</v>
      </c>
      <c r="E95" t="s">
        <v>47</v>
      </c>
      <c r="F95">
        <v>3464.18</v>
      </c>
      <c r="G95">
        <v>131</v>
      </c>
      <c r="H95">
        <v>59.39</v>
      </c>
      <c r="I95">
        <v>271522.43</v>
      </c>
      <c r="J95">
        <v>21082</v>
      </c>
      <c r="K95">
        <v>811</v>
      </c>
      <c r="L95">
        <v>839352</v>
      </c>
      <c r="M95">
        <v>19110.189999999999</v>
      </c>
      <c r="N95">
        <v>452</v>
      </c>
    </row>
    <row r="96" spans="1:14" x14ac:dyDescent="0.3">
      <c r="A96" t="s">
        <v>17</v>
      </c>
      <c r="B96" t="s">
        <v>18</v>
      </c>
      <c r="C96">
        <v>2022</v>
      </c>
      <c r="D96">
        <v>162340</v>
      </c>
      <c r="E96" t="s">
        <v>49</v>
      </c>
      <c r="F96">
        <v>3842.18</v>
      </c>
      <c r="G96">
        <v>53</v>
      </c>
      <c r="H96">
        <v>380.91</v>
      </c>
      <c r="I96">
        <v>623739.5</v>
      </c>
      <c r="J96">
        <v>41221</v>
      </c>
      <c r="K96">
        <v>2212</v>
      </c>
      <c r="L96">
        <v>392962</v>
      </c>
      <c r="M96">
        <v>99582.42</v>
      </c>
      <c r="N96">
        <v>9733</v>
      </c>
    </row>
    <row r="97" spans="1:14" x14ac:dyDescent="0.3">
      <c r="A97" t="s">
        <v>63</v>
      </c>
      <c r="B97" t="s">
        <v>87</v>
      </c>
      <c r="C97">
        <v>2023</v>
      </c>
      <c r="D97">
        <v>174677</v>
      </c>
      <c r="E97" t="s">
        <v>49</v>
      </c>
      <c r="F97">
        <v>4964.6000000000004</v>
      </c>
      <c r="G97">
        <v>174</v>
      </c>
      <c r="H97">
        <v>144.80000000000001</v>
      </c>
      <c r="I97">
        <v>867201.43</v>
      </c>
      <c r="J97">
        <v>38297</v>
      </c>
      <c r="K97">
        <v>3458</v>
      </c>
      <c r="L97">
        <v>893488</v>
      </c>
      <c r="M97">
        <v>198551.18</v>
      </c>
      <c r="N97">
        <v>6577</v>
      </c>
    </row>
    <row r="98" spans="1:14" x14ac:dyDescent="0.3">
      <c r="A98" t="s">
        <v>63</v>
      </c>
      <c r="B98" t="s">
        <v>64</v>
      </c>
      <c r="C98">
        <v>2023</v>
      </c>
      <c r="D98">
        <v>83142</v>
      </c>
      <c r="E98" t="s">
        <v>49</v>
      </c>
      <c r="F98">
        <v>811.1</v>
      </c>
      <c r="G98">
        <v>365</v>
      </c>
      <c r="H98">
        <v>232.26</v>
      </c>
      <c r="I98">
        <v>67436.479999999996</v>
      </c>
      <c r="J98">
        <v>37781</v>
      </c>
      <c r="K98">
        <v>3655</v>
      </c>
      <c r="L98">
        <v>811985</v>
      </c>
      <c r="M98">
        <v>14366.05</v>
      </c>
      <c r="N98">
        <v>4456</v>
      </c>
    </row>
    <row r="99" spans="1:14" x14ac:dyDescent="0.3">
      <c r="A99" t="s">
        <v>38</v>
      </c>
      <c r="B99" t="s">
        <v>42</v>
      </c>
      <c r="C99">
        <v>2022</v>
      </c>
      <c r="D99">
        <v>194832</v>
      </c>
      <c r="E99" t="s">
        <v>49</v>
      </c>
      <c r="F99">
        <v>1088.93</v>
      </c>
      <c r="G99">
        <v>352</v>
      </c>
      <c r="H99">
        <v>155.6</v>
      </c>
      <c r="I99">
        <v>212158.41</v>
      </c>
      <c r="J99">
        <v>49738</v>
      </c>
      <c r="K99">
        <v>3139</v>
      </c>
      <c r="L99">
        <v>252332</v>
      </c>
      <c r="M99">
        <v>54571.56</v>
      </c>
      <c r="N99">
        <v>6756</v>
      </c>
    </row>
    <row r="100" spans="1:14" x14ac:dyDescent="0.3">
      <c r="A100" t="s">
        <v>69</v>
      </c>
      <c r="B100" t="s">
        <v>70</v>
      </c>
      <c r="C100">
        <v>2021</v>
      </c>
      <c r="D100">
        <v>158856</v>
      </c>
      <c r="E100" t="s">
        <v>22</v>
      </c>
      <c r="F100">
        <v>1254.29</v>
      </c>
      <c r="G100">
        <v>470</v>
      </c>
      <c r="H100">
        <v>210.53</v>
      </c>
      <c r="I100">
        <v>199251.49</v>
      </c>
      <c r="J100">
        <v>20563</v>
      </c>
      <c r="K100">
        <v>4068</v>
      </c>
      <c r="L100">
        <v>321991</v>
      </c>
      <c r="M100">
        <v>39120.76</v>
      </c>
      <c r="N100">
        <v>4053</v>
      </c>
    </row>
    <row r="101" spans="1:14" x14ac:dyDescent="0.3">
      <c r="A101" t="s">
        <v>59</v>
      </c>
      <c r="B101" t="s">
        <v>60</v>
      </c>
      <c r="C101">
        <v>2022</v>
      </c>
      <c r="D101">
        <v>131537</v>
      </c>
      <c r="E101" t="s">
        <v>25</v>
      </c>
      <c r="F101">
        <v>1540.09</v>
      </c>
      <c r="G101">
        <v>50</v>
      </c>
      <c r="H101">
        <v>104.95</v>
      </c>
      <c r="I101">
        <v>202578.82</v>
      </c>
      <c r="J101">
        <v>25677</v>
      </c>
      <c r="K101">
        <v>1508</v>
      </c>
      <c r="L101">
        <v>900610</v>
      </c>
      <c r="M101">
        <v>17641.740000000002</v>
      </c>
      <c r="N101">
        <v>7573</v>
      </c>
    </row>
    <row r="102" spans="1:14" x14ac:dyDescent="0.3">
      <c r="A102" t="s">
        <v>23</v>
      </c>
      <c r="B102" t="s">
        <v>88</v>
      </c>
      <c r="C102">
        <v>2022</v>
      </c>
      <c r="D102">
        <v>111212</v>
      </c>
      <c r="E102" t="s">
        <v>19</v>
      </c>
      <c r="F102">
        <v>2546.33</v>
      </c>
      <c r="G102">
        <v>227</v>
      </c>
      <c r="H102">
        <v>204.19</v>
      </c>
      <c r="I102">
        <v>283182.45</v>
      </c>
      <c r="J102">
        <v>18605</v>
      </c>
      <c r="K102">
        <v>4903</v>
      </c>
      <c r="L102">
        <v>440479</v>
      </c>
      <c r="M102">
        <v>66045.149999999994</v>
      </c>
      <c r="N102">
        <v>6912</v>
      </c>
    </row>
    <row r="103" spans="1:14" x14ac:dyDescent="0.3">
      <c r="A103" t="s">
        <v>56</v>
      </c>
      <c r="B103" t="s">
        <v>57</v>
      </c>
      <c r="C103">
        <v>2022</v>
      </c>
      <c r="D103">
        <v>155823</v>
      </c>
      <c r="E103" t="s">
        <v>47</v>
      </c>
      <c r="F103">
        <v>4835.0600000000004</v>
      </c>
      <c r="G103">
        <v>242</v>
      </c>
      <c r="H103">
        <v>427.15</v>
      </c>
      <c r="I103">
        <v>753413.55</v>
      </c>
      <c r="J103">
        <v>20577</v>
      </c>
      <c r="K103">
        <v>3985</v>
      </c>
      <c r="L103">
        <v>498625</v>
      </c>
      <c r="M103">
        <v>194169.21</v>
      </c>
      <c r="N103">
        <v>4540</v>
      </c>
    </row>
    <row r="104" spans="1:14" x14ac:dyDescent="0.3">
      <c r="A104" t="s">
        <v>20</v>
      </c>
      <c r="B104" t="s">
        <v>21</v>
      </c>
      <c r="C104">
        <v>2022</v>
      </c>
      <c r="D104">
        <v>104061</v>
      </c>
      <c r="E104" t="s">
        <v>37</v>
      </c>
      <c r="F104">
        <v>3202.74</v>
      </c>
      <c r="G104">
        <v>191</v>
      </c>
      <c r="H104">
        <v>227.24</v>
      </c>
      <c r="I104">
        <v>333280.33</v>
      </c>
      <c r="J104">
        <v>18380</v>
      </c>
      <c r="K104">
        <v>3791</v>
      </c>
      <c r="L104">
        <v>512785</v>
      </c>
      <c r="M104">
        <v>20681.05</v>
      </c>
      <c r="N104">
        <v>3928</v>
      </c>
    </row>
    <row r="105" spans="1:14" x14ac:dyDescent="0.3">
      <c r="A105" t="s">
        <v>14</v>
      </c>
      <c r="B105" t="s">
        <v>28</v>
      </c>
      <c r="C105">
        <v>2020</v>
      </c>
      <c r="D105">
        <v>164044</v>
      </c>
      <c r="E105" t="s">
        <v>16</v>
      </c>
      <c r="F105">
        <v>4665.54</v>
      </c>
      <c r="G105">
        <v>131</v>
      </c>
      <c r="H105">
        <v>445.05</v>
      </c>
      <c r="I105">
        <v>765353.84</v>
      </c>
      <c r="J105">
        <v>30426</v>
      </c>
      <c r="K105">
        <v>4212</v>
      </c>
      <c r="L105">
        <v>444583</v>
      </c>
      <c r="M105">
        <v>162460.64000000001</v>
      </c>
      <c r="N105">
        <v>2290</v>
      </c>
    </row>
    <row r="106" spans="1:14" x14ac:dyDescent="0.3">
      <c r="A106" t="s">
        <v>26</v>
      </c>
      <c r="B106" t="s">
        <v>27</v>
      </c>
      <c r="C106">
        <v>2022</v>
      </c>
      <c r="D106">
        <v>190180</v>
      </c>
      <c r="E106" t="s">
        <v>19</v>
      </c>
      <c r="F106">
        <v>2968.25</v>
      </c>
      <c r="G106">
        <v>273</v>
      </c>
      <c r="H106">
        <v>217.96</v>
      </c>
      <c r="I106">
        <v>564501.79</v>
      </c>
      <c r="J106">
        <v>27443</v>
      </c>
      <c r="K106">
        <v>3838</v>
      </c>
      <c r="L106">
        <v>810674</v>
      </c>
      <c r="M106">
        <v>118908.91</v>
      </c>
      <c r="N106">
        <v>6571</v>
      </c>
    </row>
    <row r="107" spans="1:14" x14ac:dyDescent="0.3">
      <c r="A107" t="s">
        <v>61</v>
      </c>
      <c r="B107" t="s">
        <v>68</v>
      </c>
      <c r="C107">
        <v>2020</v>
      </c>
      <c r="D107">
        <v>81348</v>
      </c>
      <c r="E107" t="s">
        <v>25</v>
      </c>
      <c r="F107">
        <v>990.13</v>
      </c>
      <c r="G107">
        <v>353</v>
      </c>
      <c r="H107">
        <v>311.08</v>
      </c>
      <c r="I107">
        <v>80545.100000000006</v>
      </c>
      <c r="J107">
        <v>16563</v>
      </c>
      <c r="K107">
        <v>542</v>
      </c>
      <c r="L107">
        <v>470182</v>
      </c>
      <c r="M107">
        <v>18487.580000000002</v>
      </c>
      <c r="N107">
        <v>9306</v>
      </c>
    </row>
    <row r="108" spans="1:14" x14ac:dyDescent="0.3">
      <c r="A108" t="s">
        <v>17</v>
      </c>
      <c r="B108" t="s">
        <v>82</v>
      </c>
      <c r="C108">
        <v>2020</v>
      </c>
      <c r="D108">
        <v>109182</v>
      </c>
      <c r="E108" t="s">
        <v>22</v>
      </c>
      <c r="F108">
        <v>4795.97</v>
      </c>
      <c r="G108">
        <v>100</v>
      </c>
      <c r="H108">
        <v>77.12</v>
      </c>
      <c r="I108">
        <v>523633.6</v>
      </c>
      <c r="J108">
        <v>18076</v>
      </c>
      <c r="K108">
        <v>1463</v>
      </c>
      <c r="L108">
        <v>843583</v>
      </c>
      <c r="M108">
        <v>113902.88</v>
      </c>
      <c r="N108">
        <v>205</v>
      </c>
    </row>
    <row r="109" spans="1:14" x14ac:dyDescent="0.3">
      <c r="A109" t="s">
        <v>56</v>
      </c>
      <c r="B109" t="s">
        <v>76</v>
      </c>
      <c r="C109">
        <v>2020</v>
      </c>
      <c r="D109">
        <v>158177</v>
      </c>
      <c r="E109" t="s">
        <v>49</v>
      </c>
      <c r="F109">
        <v>4895.26</v>
      </c>
      <c r="G109">
        <v>399</v>
      </c>
      <c r="H109">
        <v>131.52000000000001</v>
      </c>
      <c r="I109">
        <v>774317.54</v>
      </c>
      <c r="J109">
        <v>49139</v>
      </c>
      <c r="K109">
        <v>4154</v>
      </c>
      <c r="L109">
        <v>532238</v>
      </c>
      <c r="M109">
        <v>148535.82999999999</v>
      </c>
      <c r="N109">
        <v>1898</v>
      </c>
    </row>
    <row r="110" spans="1:14" x14ac:dyDescent="0.3">
      <c r="A110" t="s">
        <v>45</v>
      </c>
      <c r="B110" t="s">
        <v>79</v>
      </c>
      <c r="C110">
        <v>2020</v>
      </c>
      <c r="D110">
        <v>109189</v>
      </c>
      <c r="E110" t="s">
        <v>25</v>
      </c>
      <c r="F110">
        <v>695.36</v>
      </c>
      <c r="G110">
        <v>428</v>
      </c>
      <c r="H110">
        <v>51.16</v>
      </c>
      <c r="I110">
        <v>75925.66</v>
      </c>
      <c r="J110">
        <v>28669</v>
      </c>
      <c r="K110">
        <v>1743</v>
      </c>
      <c r="L110">
        <v>275160</v>
      </c>
      <c r="M110">
        <v>16069.78</v>
      </c>
      <c r="N110">
        <v>6395</v>
      </c>
    </row>
    <row r="111" spans="1:14" x14ac:dyDescent="0.3">
      <c r="A111" t="s">
        <v>26</v>
      </c>
      <c r="B111" t="s">
        <v>78</v>
      </c>
      <c r="C111">
        <v>2023</v>
      </c>
      <c r="D111">
        <v>169503</v>
      </c>
      <c r="E111" t="s">
        <v>19</v>
      </c>
      <c r="F111">
        <v>1650.4</v>
      </c>
      <c r="G111">
        <v>201</v>
      </c>
      <c r="H111">
        <v>420.18</v>
      </c>
      <c r="I111">
        <v>279747.75</v>
      </c>
      <c r="J111">
        <v>12227</v>
      </c>
      <c r="K111">
        <v>645</v>
      </c>
      <c r="L111">
        <v>284386</v>
      </c>
      <c r="M111">
        <v>45582.64</v>
      </c>
      <c r="N111">
        <v>1349</v>
      </c>
    </row>
    <row r="112" spans="1:14" x14ac:dyDescent="0.3">
      <c r="A112" t="s">
        <v>23</v>
      </c>
      <c r="B112" t="s">
        <v>88</v>
      </c>
      <c r="C112">
        <v>2022</v>
      </c>
      <c r="D112">
        <v>67014</v>
      </c>
      <c r="E112" t="s">
        <v>37</v>
      </c>
      <c r="F112">
        <v>1303.01</v>
      </c>
      <c r="G112">
        <v>468</v>
      </c>
      <c r="H112">
        <v>323.19</v>
      </c>
      <c r="I112">
        <v>87319.91</v>
      </c>
      <c r="J112">
        <v>28711</v>
      </c>
      <c r="K112">
        <v>1468</v>
      </c>
      <c r="L112">
        <v>208285</v>
      </c>
      <c r="M112">
        <v>5642.06</v>
      </c>
      <c r="N112">
        <v>9869</v>
      </c>
    </row>
    <row r="113" spans="1:14" x14ac:dyDescent="0.3">
      <c r="A113" t="s">
        <v>38</v>
      </c>
      <c r="B113" t="s">
        <v>39</v>
      </c>
      <c r="C113">
        <v>2021</v>
      </c>
      <c r="D113">
        <v>81910</v>
      </c>
      <c r="E113" t="s">
        <v>22</v>
      </c>
      <c r="F113">
        <v>571.19000000000005</v>
      </c>
      <c r="G113">
        <v>351</v>
      </c>
      <c r="H113">
        <v>96.85</v>
      </c>
      <c r="I113">
        <v>46786.17</v>
      </c>
      <c r="J113">
        <v>22625</v>
      </c>
      <c r="K113">
        <v>1690</v>
      </c>
      <c r="L113">
        <v>744892</v>
      </c>
      <c r="M113">
        <v>3341.21</v>
      </c>
      <c r="N113">
        <v>5289</v>
      </c>
    </row>
    <row r="114" spans="1:14" x14ac:dyDescent="0.3">
      <c r="A114" t="s">
        <v>40</v>
      </c>
      <c r="B114" t="s">
        <v>72</v>
      </c>
      <c r="C114">
        <v>2022</v>
      </c>
      <c r="D114">
        <v>118008</v>
      </c>
      <c r="E114" t="s">
        <v>37</v>
      </c>
      <c r="F114">
        <v>2490.84</v>
      </c>
      <c r="G114">
        <v>493</v>
      </c>
      <c r="H114">
        <v>410.16</v>
      </c>
      <c r="I114">
        <v>293939.05</v>
      </c>
      <c r="J114">
        <v>41378</v>
      </c>
      <c r="K114">
        <v>3323</v>
      </c>
      <c r="L114">
        <v>892981</v>
      </c>
      <c r="M114">
        <v>64676.29</v>
      </c>
      <c r="N114">
        <v>5349</v>
      </c>
    </row>
    <row r="115" spans="1:14" x14ac:dyDescent="0.3">
      <c r="A115" t="s">
        <v>59</v>
      </c>
      <c r="B115" t="s">
        <v>89</v>
      </c>
      <c r="C115">
        <v>2021</v>
      </c>
      <c r="D115">
        <v>175541</v>
      </c>
      <c r="E115" t="s">
        <v>16</v>
      </c>
      <c r="F115">
        <v>3787.93</v>
      </c>
      <c r="G115">
        <v>313</v>
      </c>
      <c r="H115">
        <v>311.20999999999998</v>
      </c>
      <c r="I115">
        <v>664937.02</v>
      </c>
      <c r="J115">
        <v>35137</v>
      </c>
      <c r="K115">
        <v>2368</v>
      </c>
      <c r="L115">
        <v>885036</v>
      </c>
      <c r="M115">
        <v>66648.91</v>
      </c>
      <c r="N115">
        <v>3183</v>
      </c>
    </row>
    <row r="116" spans="1:14" x14ac:dyDescent="0.3">
      <c r="A116" t="s">
        <v>20</v>
      </c>
      <c r="B116" t="s">
        <v>29</v>
      </c>
      <c r="C116">
        <v>2023</v>
      </c>
      <c r="D116">
        <v>96479</v>
      </c>
      <c r="E116" t="s">
        <v>37</v>
      </c>
      <c r="F116">
        <v>4079.52</v>
      </c>
      <c r="G116">
        <v>286</v>
      </c>
      <c r="H116">
        <v>103.92</v>
      </c>
      <c r="I116">
        <v>393588.01</v>
      </c>
      <c r="J116">
        <v>34301</v>
      </c>
      <c r="K116">
        <v>4443</v>
      </c>
      <c r="L116">
        <v>243783</v>
      </c>
      <c r="M116">
        <v>102532.95</v>
      </c>
      <c r="N116">
        <v>4995</v>
      </c>
    </row>
    <row r="117" spans="1:14" x14ac:dyDescent="0.3">
      <c r="A117" t="s">
        <v>14</v>
      </c>
      <c r="B117" t="s">
        <v>28</v>
      </c>
      <c r="C117">
        <v>2024</v>
      </c>
      <c r="D117">
        <v>169968</v>
      </c>
      <c r="E117" t="s">
        <v>47</v>
      </c>
      <c r="F117">
        <v>2780.77</v>
      </c>
      <c r="G117">
        <v>191</v>
      </c>
      <c r="H117">
        <v>102.94</v>
      </c>
      <c r="I117">
        <v>472641.92</v>
      </c>
      <c r="J117">
        <v>10782</v>
      </c>
      <c r="K117">
        <v>2101</v>
      </c>
      <c r="L117">
        <v>265400</v>
      </c>
      <c r="M117">
        <v>134343.48000000001</v>
      </c>
      <c r="N117">
        <v>7674</v>
      </c>
    </row>
    <row r="118" spans="1:14" x14ac:dyDescent="0.3">
      <c r="A118" t="s">
        <v>63</v>
      </c>
      <c r="B118" t="s">
        <v>64</v>
      </c>
      <c r="C118">
        <v>2021</v>
      </c>
      <c r="D118">
        <v>68073</v>
      </c>
      <c r="E118" t="s">
        <v>19</v>
      </c>
      <c r="F118">
        <v>2820.56</v>
      </c>
      <c r="G118">
        <v>476</v>
      </c>
      <c r="H118">
        <v>308.56</v>
      </c>
      <c r="I118">
        <v>192003.98</v>
      </c>
      <c r="J118">
        <v>10435</v>
      </c>
      <c r="K118">
        <v>4607</v>
      </c>
      <c r="L118">
        <v>802878</v>
      </c>
      <c r="M118">
        <v>35507.9</v>
      </c>
      <c r="N118">
        <v>7729</v>
      </c>
    </row>
    <row r="119" spans="1:14" x14ac:dyDescent="0.3">
      <c r="A119" t="s">
        <v>61</v>
      </c>
      <c r="B119" t="s">
        <v>68</v>
      </c>
      <c r="C119">
        <v>2022</v>
      </c>
      <c r="D119">
        <v>123861</v>
      </c>
      <c r="E119" t="s">
        <v>22</v>
      </c>
      <c r="F119">
        <v>1453.92</v>
      </c>
      <c r="G119">
        <v>448</v>
      </c>
      <c r="H119">
        <v>231.34</v>
      </c>
      <c r="I119">
        <v>180083.99</v>
      </c>
      <c r="J119">
        <v>11721</v>
      </c>
      <c r="K119">
        <v>3478</v>
      </c>
      <c r="L119">
        <v>704801</v>
      </c>
      <c r="M119">
        <v>34803.1</v>
      </c>
      <c r="N119">
        <v>4359</v>
      </c>
    </row>
    <row r="120" spans="1:14" x14ac:dyDescent="0.3">
      <c r="A120" t="s">
        <v>53</v>
      </c>
      <c r="B120" t="s">
        <v>54</v>
      </c>
      <c r="C120">
        <v>2023</v>
      </c>
      <c r="D120">
        <v>55901</v>
      </c>
      <c r="E120" t="s">
        <v>22</v>
      </c>
      <c r="F120">
        <v>4542.18</v>
      </c>
      <c r="G120">
        <v>485</v>
      </c>
      <c r="H120">
        <v>276.14999999999998</v>
      </c>
      <c r="I120">
        <v>253912.4</v>
      </c>
      <c r="J120">
        <v>28429</v>
      </c>
      <c r="K120">
        <v>3029</v>
      </c>
      <c r="L120">
        <v>295127</v>
      </c>
      <c r="M120">
        <v>44822.37</v>
      </c>
      <c r="N120">
        <v>8834</v>
      </c>
    </row>
    <row r="121" spans="1:14" x14ac:dyDescent="0.3">
      <c r="A121" t="s">
        <v>53</v>
      </c>
      <c r="B121" t="s">
        <v>54</v>
      </c>
      <c r="C121">
        <v>2024</v>
      </c>
      <c r="D121">
        <v>78179</v>
      </c>
      <c r="E121" t="s">
        <v>49</v>
      </c>
      <c r="F121">
        <v>975.49</v>
      </c>
      <c r="G121">
        <v>398</v>
      </c>
      <c r="H121">
        <v>57.96</v>
      </c>
      <c r="I121">
        <v>76262.83</v>
      </c>
      <c r="J121">
        <v>42947</v>
      </c>
      <c r="K121">
        <v>2453</v>
      </c>
      <c r="L121">
        <v>409177</v>
      </c>
      <c r="M121">
        <v>13052.41</v>
      </c>
      <c r="N121">
        <v>5178</v>
      </c>
    </row>
    <row r="122" spans="1:14" x14ac:dyDescent="0.3">
      <c r="A122" t="s">
        <v>56</v>
      </c>
      <c r="B122" t="s">
        <v>71</v>
      </c>
      <c r="C122">
        <v>2022</v>
      </c>
      <c r="D122">
        <v>94936</v>
      </c>
      <c r="E122" t="s">
        <v>19</v>
      </c>
      <c r="F122">
        <v>1046.23</v>
      </c>
      <c r="G122">
        <v>420</v>
      </c>
      <c r="H122">
        <v>129.99</v>
      </c>
      <c r="I122">
        <v>99324.89</v>
      </c>
      <c r="J122">
        <v>28291</v>
      </c>
      <c r="K122">
        <v>2138</v>
      </c>
      <c r="L122">
        <v>629111</v>
      </c>
      <c r="M122">
        <v>20242.900000000001</v>
      </c>
      <c r="N122">
        <v>3402</v>
      </c>
    </row>
    <row r="123" spans="1:14" x14ac:dyDescent="0.3">
      <c r="A123" t="s">
        <v>23</v>
      </c>
      <c r="B123" t="s">
        <v>84</v>
      </c>
      <c r="C123">
        <v>2020</v>
      </c>
      <c r="D123">
        <v>107009</v>
      </c>
      <c r="E123" t="s">
        <v>49</v>
      </c>
      <c r="F123">
        <v>4489.72</v>
      </c>
      <c r="G123">
        <v>56</v>
      </c>
      <c r="H123">
        <v>286.48</v>
      </c>
      <c r="I123">
        <v>480440.45</v>
      </c>
      <c r="J123">
        <v>32605</v>
      </c>
      <c r="K123">
        <v>2264</v>
      </c>
      <c r="L123">
        <v>547660</v>
      </c>
      <c r="M123">
        <v>25346.99</v>
      </c>
      <c r="N123">
        <v>7858</v>
      </c>
    </row>
    <row r="124" spans="1:14" x14ac:dyDescent="0.3">
      <c r="A124" t="s">
        <v>45</v>
      </c>
      <c r="B124" t="s">
        <v>66</v>
      </c>
      <c r="C124">
        <v>2022</v>
      </c>
      <c r="D124">
        <v>74022</v>
      </c>
      <c r="E124" t="s">
        <v>47</v>
      </c>
      <c r="F124">
        <v>2908.9</v>
      </c>
      <c r="G124">
        <v>262</v>
      </c>
      <c r="H124">
        <v>425.44</v>
      </c>
      <c r="I124">
        <v>215322.6</v>
      </c>
      <c r="J124">
        <v>21052</v>
      </c>
      <c r="K124">
        <v>4768</v>
      </c>
      <c r="L124">
        <v>706031</v>
      </c>
      <c r="M124">
        <v>16673.3</v>
      </c>
      <c r="N124">
        <v>8061</v>
      </c>
    </row>
    <row r="125" spans="1:14" x14ac:dyDescent="0.3">
      <c r="A125" t="s">
        <v>23</v>
      </c>
      <c r="B125" t="s">
        <v>84</v>
      </c>
      <c r="C125">
        <v>2022</v>
      </c>
      <c r="D125">
        <v>60749</v>
      </c>
      <c r="E125" t="s">
        <v>49</v>
      </c>
      <c r="F125">
        <v>1961.04</v>
      </c>
      <c r="G125">
        <v>281</v>
      </c>
      <c r="H125">
        <v>414.81</v>
      </c>
      <c r="I125">
        <v>119131.22</v>
      </c>
      <c r="J125">
        <v>33380</v>
      </c>
      <c r="K125">
        <v>3993</v>
      </c>
      <c r="L125">
        <v>306553</v>
      </c>
      <c r="M125">
        <v>32525.35</v>
      </c>
      <c r="N125">
        <v>6372</v>
      </c>
    </row>
    <row r="126" spans="1:14" x14ac:dyDescent="0.3">
      <c r="A126" t="s">
        <v>17</v>
      </c>
      <c r="B126" t="s">
        <v>36</v>
      </c>
      <c r="C126">
        <v>2023</v>
      </c>
      <c r="D126">
        <v>53631</v>
      </c>
      <c r="E126" t="s">
        <v>47</v>
      </c>
      <c r="F126">
        <v>4283.92</v>
      </c>
      <c r="G126">
        <v>493</v>
      </c>
      <c r="H126">
        <v>401.53</v>
      </c>
      <c r="I126">
        <v>229750.91</v>
      </c>
      <c r="J126">
        <v>46674</v>
      </c>
      <c r="K126">
        <v>1275</v>
      </c>
      <c r="L126">
        <v>471818</v>
      </c>
      <c r="M126">
        <v>24523.88</v>
      </c>
      <c r="N126">
        <v>7183</v>
      </c>
    </row>
    <row r="127" spans="1:14" x14ac:dyDescent="0.3">
      <c r="A127" t="s">
        <v>34</v>
      </c>
      <c r="B127" t="s">
        <v>35</v>
      </c>
      <c r="C127">
        <v>2022</v>
      </c>
      <c r="D127">
        <v>113936</v>
      </c>
      <c r="E127" t="s">
        <v>25</v>
      </c>
      <c r="F127">
        <v>715.24</v>
      </c>
      <c r="G127">
        <v>136</v>
      </c>
      <c r="H127">
        <v>372.35</v>
      </c>
      <c r="I127">
        <v>81491.58</v>
      </c>
      <c r="J127">
        <v>12788</v>
      </c>
      <c r="K127">
        <v>3211</v>
      </c>
      <c r="L127">
        <v>782176</v>
      </c>
      <c r="M127">
        <v>19099.759999999998</v>
      </c>
      <c r="N127">
        <v>5430</v>
      </c>
    </row>
    <row r="128" spans="1:14" x14ac:dyDescent="0.3">
      <c r="A128" t="s">
        <v>34</v>
      </c>
      <c r="B128" t="s">
        <v>65</v>
      </c>
      <c r="C128">
        <v>2023</v>
      </c>
      <c r="D128">
        <v>175426</v>
      </c>
      <c r="E128" t="s">
        <v>37</v>
      </c>
      <c r="F128">
        <v>1283.49</v>
      </c>
      <c r="G128">
        <v>399</v>
      </c>
      <c r="H128">
        <v>423.74</v>
      </c>
      <c r="I128">
        <v>225157.52</v>
      </c>
      <c r="J128">
        <v>15759</v>
      </c>
      <c r="K128">
        <v>2073</v>
      </c>
      <c r="L128">
        <v>471486</v>
      </c>
      <c r="M128">
        <v>65738.12</v>
      </c>
      <c r="N128">
        <v>3109</v>
      </c>
    </row>
    <row r="129" spans="1:14" x14ac:dyDescent="0.3">
      <c r="A129" t="s">
        <v>17</v>
      </c>
      <c r="B129" t="s">
        <v>36</v>
      </c>
      <c r="C129">
        <v>2021</v>
      </c>
      <c r="D129">
        <v>147661</v>
      </c>
      <c r="E129" t="s">
        <v>37</v>
      </c>
      <c r="F129">
        <v>811.64</v>
      </c>
      <c r="G129">
        <v>168</v>
      </c>
      <c r="H129">
        <v>68.88</v>
      </c>
      <c r="I129">
        <v>119847.57</v>
      </c>
      <c r="J129">
        <v>39964</v>
      </c>
      <c r="K129">
        <v>1269</v>
      </c>
      <c r="L129">
        <v>371909</v>
      </c>
      <c r="M129">
        <v>33566.22</v>
      </c>
      <c r="N129">
        <v>621</v>
      </c>
    </row>
    <row r="130" spans="1:14" x14ac:dyDescent="0.3">
      <c r="A130" t="s">
        <v>14</v>
      </c>
      <c r="B130" t="s">
        <v>90</v>
      </c>
      <c r="C130">
        <v>2022</v>
      </c>
      <c r="D130">
        <v>95838</v>
      </c>
      <c r="E130" t="s">
        <v>49</v>
      </c>
      <c r="F130">
        <v>3193.39</v>
      </c>
      <c r="G130">
        <v>364</v>
      </c>
      <c r="H130">
        <v>297.54000000000002</v>
      </c>
      <c r="I130">
        <v>306048.11</v>
      </c>
      <c r="J130">
        <v>44896</v>
      </c>
      <c r="K130">
        <v>4583</v>
      </c>
      <c r="L130">
        <v>969965</v>
      </c>
      <c r="M130">
        <v>67023.179999999993</v>
      </c>
      <c r="N130">
        <v>9859</v>
      </c>
    </row>
    <row r="131" spans="1:14" x14ac:dyDescent="0.3">
      <c r="A131" t="s">
        <v>50</v>
      </c>
      <c r="B131" t="s">
        <v>86</v>
      </c>
      <c r="C131">
        <v>2021</v>
      </c>
      <c r="D131">
        <v>170029</v>
      </c>
      <c r="E131" t="s">
        <v>47</v>
      </c>
      <c r="F131">
        <v>4309.3100000000004</v>
      </c>
      <c r="G131">
        <v>67</v>
      </c>
      <c r="H131">
        <v>336.23</v>
      </c>
      <c r="I131">
        <v>732707.67</v>
      </c>
      <c r="J131">
        <v>44933</v>
      </c>
      <c r="K131">
        <v>801</v>
      </c>
      <c r="L131">
        <v>991415</v>
      </c>
      <c r="M131">
        <v>69716.149999999994</v>
      </c>
      <c r="N131">
        <v>9660</v>
      </c>
    </row>
    <row r="132" spans="1:14" x14ac:dyDescent="0.3">
      <c r="A132" t="s">
        <v>53</v>
      </c>
      <c r="B132" t="s">
        <v>85</v>
      </c>
      <c r="C132">
        <v>2023</v>
      </c>
      <c r="D132">
        <v>93541</v>
      </c>
      <c r="E132" t="s">
        <v>47</v>
      </c>
      <c r="F132">
        <v>3775.76</v>
      </c>
      <c r="G132">
        <v>262</v>
      </c>
      <c r="H132">
        <v>376.69</v>
      </c>
      <c r="I132">
        <v>353188.37</v>
      </c>
      <c r="J132">
        <v>29858</v>
      </c>
      <c r="K132">
        <v>1986</v>
      </c>
      <c r="L132">
        <v>227558</v>
      </c>
      <c r="M132">
        <v>82363.66</v>
      </c>
      <c r="N132">
        <v>8994</v>
      </c>
    </row>
    <row r="133" spans="1:14" x14ac:dyDescent="0.3">
      <c r="A133" t="s">
        <v>69</v>
      </c>
      <c r="B133" t="s">
        <v>70</v>
      </c>
      <c r="C133">
        <v>2023</v>
      </c>
      <c r="D133">
        <v>199109</v>
      </c>
      <c r="E133" t="s">
        <v>25</v>
      </c>
      <c r="F133">
        <v>3599.98</v>
      </c>
      <c r="G133">
        <v>416</v>
      </c>
      <c r="H133">
        <v>444.71</v>
      </c>
      <c r="I133">
        <v>716788.42</v>
      </c>
      <c r="J133">
        <v>41068</v>
      </c>
      <c r="K133">
        <v>861</v>
      </c>
      <c r="L133">
        <v>827401</v>
      </c>
      <c r="M133">
        <v>80043.56</v>
      </c>
      <c r="N133">
        <v>5443</v>
      </c>
    </row>
    <row r="134" spans="1:14" x14ac:dyDescent="0.3">
      <c r="A134" t="s">
        <v>69</v>
      </c>
      <c r="B134" t="s">
        <v>70</v>
      </c>
      <c r="C134">
        <v>2022</v>
      </c>
      <c r="D134">
        <v>145081</v>
      </c>
      <c r="E134" t="s">
        <v>47</v>
      </c>
      <c r="F134">
        <v>1899.18</v>
      </c>
      <c r="G134">
        <v>351</v>
      </c>
      <c r="H134">
        <v>327.19</v>
      </c>
      <c r="I134">
        <v>275534.93</v>
      </c>
      <c r="J134">
        <v>30498</v>
      </c>
      <c r="K134">
        <v>2659</v>
      </c>
      <c r="L134">
        <v>481116</v>
      </c>
      <c r="M134">
        <v>49882.79</v>
      </c>
      <c r="N134">
        <v>1137</v>
      </c>
    </row>
    <row r="135" spans="1:14" x14ac:dyDescent="0.3">
      <c r="A135" t="s">
        <v>14</v>
      </c>
      <c r="B135" t="s">
        <v>90</v>
      </c>
      <c r="C135">
        <v>2021</v>
      </c>
      <c r="D135">
        <v>195016</v>
      </c>
      <c r="E135" t="s">
        <v>37</v>
      </c>
      <c r="F135">
        <v>2155.73</v>
      </c>
      <c r="G135">
        <v>292</v>
      </c>
      <c r="H135">
        <v>428.89</v>
      </c>
      <c r="I135">
        <v>420401.84</v>
      </c>
      <c r="J135">
        <v>17087</v>
      </c>
      <c r="K135">
        <v>1197</v>
      </c>
      <c r="L135">
        <v>674771</v>
      </c>
      <c r="M135">
        <v>88638.07</v>
      </c>
      <c r="N135">
        <v>8009</v>
      </c>
    </row>
    <row r="136" spans="1:14" x14ac:dyDescent="0.3">
      <c r="A136" t="s">
        <v>59</v>
      </c>
      <c r="B136" t="s">
        <v>60</v>
      </c>
      <c r="C136">
        <v>2024</v>
      </c>
      <c r="D136">
        <v>153892</v>
      </c>
      <c r="E136" t="s">
        <v>25</v>
      </c>
      <c r="F136">
        <v>1302.68</v>
      </c>
      <c r="G136">
        <v>479</v>
      </c>
      <c r="H136">
        <v>209.97</v>
      </c>
      <c r="I136">
        <v>200472.03</v>
      </c>
      <c r="J136">
        <v>38848</v>
      </c>
      <c r="K136">
        <v>2820</v>
      </c>
      <c r="L136">
        <v>339910</v>
      </c>
      <c r="M136">
        <v>35589.279999999999</v>
      </c>
      <c r="N136">
        <v>6743</v>
      </c>
    </row>
    <row r="137" spans="1:14" x14ac:dyDescent="0.3">
      <c r="A137" t="s">
        <v>69</v>
      </c>
      <c r="B137" t="s">
        <v>91</v>
      </c>
      <c r="C137">
        <v>2022</v>
      </c>
      <c r="D137">
        <v>86727</v>
      </c>
      <c r="E137" t="s">
        <v>37</v>
      </c>
      <c r="F137">
        <v>3544.11</v>
      </c>
      <c r="G137">
        <v>208</v>
      </c>
      <c r="H137">
        <v>60.32</v>
      </c>
      <c r="I137">
        <v>307370.03000000003</v>
      </c>
      <c r="J137">
        <v>48922</v>
      </c>
      <c r="K137">
        <v>1163</v>
      </c>
      <c r="L137">
        <v>92092</v>
      </c>
      <c r="M137">
        <v>90825.48</v>
      </c>
      <c r="N137">
        <v>5569</v>
      </c>
    </row>
    <row r="138" spans="1:14" x14ac:dyDescent="0.3">
      <c r="A138" t="s">
        <v>38</v>
      </c>
      <c r="B138" t="s">
        <v>42</v>
      </c>
      <c r="C138">
        <v>2022</v>
      </c>
      <c r="D138">
        <v>78854</v>
      </c>
      <c r="E138" t="s">
        <v>19</v>
      </c>
      <c r="F138">
        <v>1561.36</v>
      </c>
      <c r="G138">
        <v>162</v>
      </c>
      <c r="H138">
        <v>319.2</v>
      </c>
      <c r="I138">
        <v>123119.48</v>
      </c>
      <c r="J138">
        <v>32386</v>
      </c>
      <c r="K138">
        <v>1519</v>
      </c>
      <c r="L138">
        <v>595909</v>
      </c>
      <c r="M138">
        <v>19121.93</v>
      </c>
      <c r="N138">
        <v>1833</v>
      </c>
    </row>
    <row r="139" spans="1:14" x14ac:dyDescent="0.3">
      <c r="A139" t="s">
        <v>38</v>
      </c>
      <c r="B139" t="s">
        <v>39</v>
      </c>
      <c r="C139">
        <v>2024</v>
      </c>
      <c r="D139">
        <v>134045</v>
      </c>
      <c r="E139" t="s">
        <v>49</v>
      </c>
      <c r="F139">
        <v>3829.94</v>
      </c>
      <c r="G139">
        <v>374</v>
      </c>
      <c r="H139">
        <v>133.01</v>
      </c>
      <c r="I139">
        <v>513384.31</v>
      </c>
      <c r="J139">
        <v>35268</v>
      </c>
      <c r="K139">
        <v>4196</v>
      </c>
      <c r="L139">
        <v>551597</v>
      </c>
      <c r="M139">
        <v>60716.78</v>
      </c>
      <c r="N139">
        <v>1549</v>
      </c>
    </row>
    <row r="140" spans="1:14" x14ac:dyDescent="0.3">
      <c r="A140" t="s">
        <v>38</v>
      </c>
      <c r="B140" t="s">
        <v>39</v>
      </c>
      <c r="C140">
        <v>2022</v>
      </c>
      <c r="D140">
        <v>75122</v>
      </c>
      <c r="E140" t="s">
        <v>16</v>
      </c>
      <c r="F140">
        <v>4427.29</v>
      </c>
      <c r="G140">
        <v>470</v>
      </c>
      <c r="H140">
        <v>266.41000000000003</v>
      </c>
      <c r="I140">
        <v>332586.88</v>
      </c>
      <c r="J140">
        <v>30279</v>
      </c>
      <c r="K140">
        <v>2125</v>
      </c>
      <c r="L140">
        <v>200787</v>
      </c>
      <c r="M140">
        <v>91786.77</v>
      </c>
      <c r="N140">
        <v>785</v>
      </c>
    </row>
    <row r="141" spans="1:14" x14ac:dyDescent="0.3">
      <c r="A141" t="s">
        <v>17</v>
      </c>
      <c r="B141" t="s">
        <v>36</v>
      </c>
      <c r="C141">
        <v>2022</v>
      </c>
      <c r="D141">
        <v>57531</v>
      </c>
      <c r="E141" t="s">
        <v>47</v>
      </c>
      <c r="F141">
        <v>3881.19</v>
      </c>
      <c r="G141">
        <v>85</v>
      </c>
      <c r="H141">
        <v>56.03</v>
      </c>
      <c r="I141">
        <v>223288.74</v>
      </c>
      <c r="J141">
        <v>6431</v>
      </c>
      <c r="K141">
        <v>2961</v>
      </c>
      <c r="L141">
        <v>714917</v>
      </c>
      <c r="M141">
        <v>24951.33</v>
      </c>
      <c r="N141">
        <v>2114</v>
      </c>
    </row>
    <row r="142" spans="1:14" x14ac:dyDescent="0.3">
      <c r="A142" t="s">
        <v>30</v>
      </c>
      <c r="B142" t="s">
        <v>92</v>
      </c>
      <c r="C142">
        <v>2021</v>
      </c>
      <c r="D142">
        <v>190905</v>
      </c>
      <c r="E142" t="s">
        <v>47</v>
      </c>
      <c r="F142">
        <v>1706.63</v>
      </c>
      <c r="G142">
        <v>277</v>
      </c>
      <c r="H142">
        <v>65.13</v>
      </c>
      <c r="I142">
        <v>325804.2</v>
      </c>
      <c r="J142">
        <v>7643</v>
      </c>
      <c r="K142">
        <v>1374</v>
      </c>
      <c r="L142">
        <v>416008</v>
      </c>
      <c r="M142">
        <v>41962.73</v>
      </c>
      <c r="N142">
        <v>771</v>
      </c>
    </row>
    <row r="143" spans="1:14" x14ac:dyDescent="0.3">
      <c r="A143" t="s">
        <v>14</v>
      </c>
      <c r="B143" t="s">
        <v>90</v>
      </c>
      <c r="C143">
        <v>2020</v>
      </c>
      <c r="D143">
        <v>188999</v>
      </c>
      <c r="E143" t="s">
        <v>49</v>
      </c>
      <c r="F143">
        <v>1075.95</v>
      </c>
      <c r="G143">
        <v>454</v>
      </c>
      <c r="H143">
        <v>73.52</v>
      </c>
      <c r="I143">
        <v>203353.47</v>
      </c>
      <c r="J143">
        <v>7539</v>
      </c>
      <c r="K143">
        <v>4760</v>
      </c>
      <c r="L143">
        <v>461961</v>
      </c>
      <c r="M143">
        <v>17537.46</v>
      </c>
      <c r="N143">
        <v>8662</v>
      </c>
    </row>
    <row r="144" spans="1:14" x14ac:dyDescent="0.3">
      <c r="A144" t="s">
        <v>45</v>
      </c>
      <c r="B144" t="s">
        <v>46</v>
      </c>
      <c r="C144">
        <v>2023</v>
      </c>
      <c r="D144">
        <v>137896</v>
      </c>
      <c r="E144" t="s">
        <v>47</v>
      </c>
      <c r="F144">
        <v>4853.1000000000004</v>
      </c>
      <c r="G144">
        <v>210</v>
      </c>
      <c r="H144">
        <v>118.06</v>
      </c>
      <c r="I144">
        <v>669223.07999999996</v>
      </c>
      <c r="J144">
        <v>29259</v>
      </c>
      <c r="K144">
        <v>1097</v>
      </c>
      <c r="L144">
        <v>855878</v>
      </c>
      <c r="M144">
        <v>197507.28</v>
      </c>
      <c r="N144">
        <v>6666</v>
      </c>
    </row>
    <row r="145" spans="1:14" x14ac:dyDescent="0.3">
      <c r="A145" t="s">
        <v>73</v>
      </c>
      <c r="B145" t="s">
        <v>75</v>
      </c>
      <c r="C145">
        <v>2021</v>
      </c>
      <c r="D145">
        <v>94629</v>
      </c>
      <c r="E145" t="s">
        <v>37</v>
      </c>
      <c r="F145">
        <v>3258.05</v>
      </c>
      <c r="G145">
        <v>147</v>
      </c>
      <c r="H145">
        <v>268.11</v>
      </c>
      <c r="I145">
        <v>308306.01</v>
      </c>
      <c r="J145">
        <v>18140</v>
      </c>
      <c r="K145">
        <v>3637</v>
      </c>
      <c r="L145">
        <v>695961</v>
      </c>
      <c r="M145">
        <v>47152.75</v>
      </c>
      <c r="N145">
        <v>8203</v>
      </c>
    </row>
    <row r="146" spans="1:14" x14ac:dyDescent="0.3">
      <c r="A146" t="s">
        <v>38</v>
      </c>
      <c r="B146" t="s">
        <v>39</v>
      </c>
      <c r="C146">
        <v>2021</v>
      </c>
      <c r="D146">
        <v>80651</v>
      </c>
      <c r="E146" t="s">
        <v>47</v>
      </c>
      <c r="F146">
        <v>4901.28</v>
      </c>
      <c r="G146">
        <v>98</v>
      </c>
      <c r="H146">
        <v>140.61000000000001</v>
      </c>
      <c r="I146">
        <v>395293.13</v>
      </c>
      <c r="J146">
        <v>23708</v>
      </c>
      <c r="K146">
        <v>1591</v>
      </c>
      <c r="L146">
        <v>735933</v>
      </c>
      <c r="M146">
        <v>21538.11</v>
      </c>
      <c r="N146">
        <v>881</v>
      </c>
    </row>
    <row r="147" spans="1:14" x14ac:dyDescent="0.3">
      <c r="A147" t="s">
        <v>69</v>
      </c>
      <c r="B147" t="s">
        <v>91</v>
      </c>
      <c r="C147">
        <v>2020</v>
      </c>
      <c r="D147">
        <v>164586</v>
      </c>
      <c r="E147" t="s">
        <v>16</v>
      </c>
      <c r="F147">
        <v>3020.82</v>
      </c>
      <c r="G147">
        <v>418</v>
      </c>
      <c r="H147">
        <v>62.23</v>
      </c>
      <c r="I147">
        <v>497184.68</v>
      </c>
      <c r="J147">
        <v>21280</v>
      </c>
      <c r="K147">
        <v>4470</v>
      </c>
      <c r="L147">
        <v>224023</v>
      </c>
      <c r="M147">
        <v>73425.27</v>
      </c>
      <c r="N147">
        <v>2526</v>
      </c>
    </row>
    <row r="148" spans="1:14" x14ac:dyDescent="0.3">
      <c r="A148" t="s">
        <v>50</v>
      </c>
      <c r="B148" t="s">
        <v>77</v>
      </c>
      <c r="C148">
        <v>2023</v>
      </c>
      <c r="D148">
        <v>153850</v>
      </c>
      <c r="E148" t="s">
        <v>37</v>
      </c>
      <c r="F148">
        <v>4840.1400000000003</v>
      </c>
      <c r="G148">
        <v>123</v>
      </c>
      <c r="H148">
        <v>92.32</v>
      </c>
      <c r="I148">
        <v>744655.54</v>
      </c>
      <c r="J148">
        <v>38243</v>
      </c>
      <c r="K148">
        <v>984</v>
      </c>
      <c r="L148">
        <v>311716</v>
      </c>
      <c r="M148">
        <v>156875.59</v>
      </c>
      <c r="N148">
        <v>7071</v>
      </c>
    </row>
    <row r="149" spans="1:14" x14ac:dyDescent="0.3">
      <c r="A149" t="s">
        <v>56</v>
      </c>
      <c r="B149" t="s">
        <v>76</v>
      </c>
      <c r="C149">
        <v>2022</v>
      </c>
      <c r="D149">
        <v>135445</v>
      </c>
      <c r="E149" t="s">
        <v>16</v>
      </c>
      <c r="F149">
        <v>1925.43</v>
      </c>
      <c r="G149">
        <v>308</v>
      </c>
      <c r="H149">
        <v>453.73</v>
      </c>
      <c r="I149">
        <v>260789.87</v>
      </c>
      <c r="J149">
        <v>6898</v>
      </c>
      <c r="K149">
        <v>3476</v>
      </c>
      <c r="L149">
        <v>961579</v>
      </c>
      <c r="M149">
        <v>25050.49</v>
      </c>
      <c r="N149">
        <v>2407</v>
      </c>
    </row>
    <row r="150" spans="1:14" x14ac:dyDescent="0.3">
      <c r="A150" t="s">
        <v>40</v>
      </c>
      <c r="B150" t="s">
        <v>72</v>
      </c>
      <c r="C150">
        <v>2022</v>
      </c>
      <c r="D150">
        <v>89901</v>
      </c>
      <c r="E150" t="s">
        <v>37</v>
      </c>
      <c r="F150">
        <v>875.59</v>
      </c>
      <c r="G150">
        <v>61</v>
      </c>
      <c r="H150">
        <v>382.88</v>
      </c>
      <c r="I150">
        <v>78716.42</v>
      </c>
      <c r="J150">
        <v>49918</v>
      </c>
      <c r="K150">
        <v>1074</v>
      </c>
      <c r="L150">
        <v>81852</v>
      </c>
      <c r="M150">
        <v>17079.89</v>
      </c>
      <c r="N150">
        <v>9886</v>
      </c>
    </row>
    <row r="151" spans="1:14" x14ac:dyDescent="0.3">
      <c r="A151" t="s">
        <v>30</v>
      </c>
      <c r="B151" t="s">
        <v>31</v>
      </c>
      <c r="C151">
        <v>2023</v>
      </c>
      <c r="D151">
        <v>58438</v>
      </c>
      <c r="E151" t="s">
        <v>22</v>
      </c>
      <c r="F151">
        <v>3590.87</v>
      </c>
      <c r="G151">
        <v>245</v>
      </c>
      <c r="H151">
        <v>373.71</v>
      </c>
      <c r="I151">
        <v>209843.26</v>
      </c>
      <c r="J151">
        <v>29217</v>
      </c>
      <c r="K151">
        <v>726</v>
      </c>
      <c r="L151">
        <v>720396</v>
      </c>
      <c r="M151">
        <v>26046.26</v>
      </c>
      <c r="N151">
        <v>7644</v>
      </c>
    </row>
    <row r="152" spans="1:14" x14ac:dyDescent="0.3">
      <c r="A152" t="s">
        <v>73</v>
      </c>
      <c r="B152" t="s">
        <v>75</v>
      </c>
      <c r="C152">
        <v>2023</v>
      </c>
      <c r="D152">
        <v>199960</v>
      </c>
      <c r="E152" t="s">
        <v>19</v>
      </c>
      <c r="F152">
        <v>2723.96</v>
      </c>
      <c r="G152">
        <v>335</v>
      </c>
      <c r="H152">
        <v>128.19</v>
      </c>
      <c r="I152">
        <v>544683.04</v>
      </c>
      <c r="J152">
        <v>41116</v>
      </c>
      <c r="K152">
        <v>1741</v>
      </c>
      <c r="L152">
        <v>271373</v>
      </c>
      <c r="M152">
        <v>84442.04</v>
      </c>
      <c r="N152">
        <v>1198</v>
      </c>
    </row>
    <row r="153" spans="1:14" x14ac:dyDescent="0.3">
      <c r="A153" t="s">
        <v>30</v>
      </c>
      <c r="B153" t="s">
        <v>92</v>
      </c>
      <c r="C153">
        <v>2024</v>
      </c>
      <c r="D153">
        <v>155400</v>
      </c>
      <c r="E153" t="s">
        <v>47</v>
      </c>
      <c r="F153">
        <v>3097.62</v>
      </c>
      <c r="G153">
        <v>157</v>
      </c>
      <c r="H153">
        <v>262.08</v>
      </c>
      <c r="I153">
        <v>481370.15</v>
      </c>
      <c r="J153">
        <v>45718</v>
      </c>
      <c r="K153">
        <v>4884</v>
      </c>
      <c r="L153">
        <v>239139</v>
      </c>
      <c r="M153">
        <v>36866.18</v>
      </c>
      <c r="N153">
        <v>6444</v>
      </c>
    </row>
    <row r="154" spans="1:14" x14ac:dyDescent="0.3">
      <c r="A154" t="s">
        <v>14</v>
      </c>
      <c r="B154" t="s">
        <v>90</v>
      </c>
      <c r="C154">
        <v>2022</v>
      </c>
      <c r="D154">
        <v>88547</v>
      </c>
      <c r="E154" t="s">
        <v>25</v>
      </c>
      <c r="F154">
        <v>4266.6899999999996</v>
      </c>
      <c r="G154">
        <v>240</v>
      </c>
      <c r="H154">
        <v>203.17</v>
      </c>
      <c r="I154">
        <v>377802.6</v>
      </c>
      <c r="J154">
        <v>38209</v>
      </c>
      <c r="K154">
        <v>1836</v>
      </c>
      <c r="L154">
        <v>493316</v>
      </c>
      <c r="M154">
        <v>107513.63</v>
      </c>
      <c r="N154">
        <v>7474</v>
      </c>
    </row>
    <row r="155" spans="1:14" x14ac:dyDescent="0.3">
      <c r="A155" t="s">
        <v>26</v>
      </c>
      <c r="B155" t="s">
        <v>27</v>
      </c>
      <c r="C155">
        <v>2022</v>
      </c>
      <c r="D155">
        <v>191521</v>
      </c>
      <c r="E155" t="s">
        <v>22</v>
      </c>
      <c r="F155">
        <v>4434.0200000000004</v>
      </c>
      <c r="G155">
        <v>492</v>
      </c>
      <c r="H155">
        <v>99.95</v>
      </c>
      <c r="I155">
        <v>849207.94</v>
      </c>
      <c r="J155">
        <v>20223</v>
      </c>
      <c r="K155">
        <v>641</v>
      </c>
      <c r="L155">
        <v>314803</v>
      </c>
      <c r="M155">
        <v>69815.23</v>
      </c>
      <c r="N155">
        <v>8572</v>
      </c>
    </row>
    <row r="156" spans="1:14" x14ac:dyDescent="0.3">
      <c r="A156" t="s">
        <v>53</v>
      </c>
      <c r="B156" t="s">
        <v>85</v>
      </c>
      <c r="C156">
        <v>2024</v>
      </c>
      <c r="D156">
        <v>111709</v>
      </c>
      <c r="E156" t="s">
        <v>19</v>
      </c>
      <c r="F156">
        <v>1760.17</v>
      </c>
      <c r="G156">
        <v>132</v>
      </c>
      <c r="H156">
        <v>487.75</v>
      </c>
      <c r="I156">
        <v>196626.83</v>
      </c>
      <c r="J156">
        <v>24330</v>
      </c>
      <c r="K156">
        <v>2831</v>
      </c>
      <c r="L156">
        <v>841507</v>
      </c>
      <c r="M156">
        <v>40374.589999999997</v>
      </c>
      <c r="N156">
        <v>3090</v>
      </c>
    </row>
    <row r="157" spans="1:14" x14ac:dyDescent="0.3">
      <c r="A157" t="s">
        <v>53</v>
      </c>
      <c r="B157" t="s">
        <v>85</v>
      </c>
      <c r="C157">
        <v>2024</v>
      </c>
      <c r="D157">
        <v>106307</v>
      </c>
      <c r="E157" t="s">
        <v>19</v>
      </c>
      <c r="F157">
        <v>3666.59</v>
      </c>
      <c r="G157">
        <v>473</v>
      </c>
      <c r="H157">
        <v>168.49</v>
      </c>
      <c r="I157">
        <v>389784.18</v>
      </c>
      <c r="J157">
        <v>11816</v>
      </c>
      <c r="K157">
        <v>2262</v>
      </c>
      <c r="L157">
        <v>192312</v>
      </c>
      <c r="M157">
        <v>91910.45</v>
      </c>
      <c r="N157">
        <v>7904</v>
      </c>
    </row>
    <row r="158" spans="1:14" x14ac:dyDescent="0.3">
      <c r="A158" t="s">
        <v>23</v>
      </c>
      <c r="B158" t="s">
        <v>88</v>
      </c>
      <c r="C158">
        <v>2024</v>
      </c>
      <c r="D158">
        <v>139709</v>
      </c>
      <c r="E158" t="s">
        <v>16</v>
      </c>
      <c r="F158">
        <v>4950.63</v>
      </c>
      <c r="G158">
        <v>65</v>
      </c>
      <c r="H158">
        <v>157.78</v>
      </c>
      <c r="I158">
        <v>691647.57</v>
      </c>
      <c r="J158">
        <v>36600</v>
      </c>
      <c r="K158">
        <v>2815</v>
      </c>
      <c r="L158">
        <v>235378</v>
      </c>
      <c r="M158">
        <v>171037.67</v>
      </c>
      <c r="N158">
        <v>7951</v>
      </c>
    </row>
    <row r="159" spans="1:14" x14ac:dyDescent="0.3">
      <c r="A159" t="s">
        <v>26</v>
      </c>
      <c r="B159" t="s">
        <v>27</v>
      </c>
      <c r="C159">
        <v>2024</v>
      </c>
      <c r="D159">
        <v>66288</v>
      </c>
      <c r="E159" t="s">
        <v>22</v>
      </c>
      <c r="F159">
        <v>2863.58</v>
      </c>
      <c r="G159">
        <v>84</v>
      </c>
      <c r="H159">
        <v>423.18</v>
      </c>
      <c r="I159">
        <v>189820.99</v>
      </c>
      <c r="J159">
        <v>49096</v>
      </c>
      <c r="K159">
        <v>842</v>
      </c>
      <c r="L159">
        <v>82174</v>
      </c>
      <c r="M159">
        <v>52707.43</v>
      </c>
      <c r="N159">
        <v>6848</v>
      </c>
    </row>
    <row r="160" spans="1:14" x14ac:dyDescent="0.3">
      <c r="A160" t="s">
        <v>53</v>
      </c>
      <c r="B160" t="s">
        <v>85</v>
      </c>
      <c r="C160">
        <v>2024</v>
      </c>
      <c r="D160">
        <v>195639</v>
      </c>
      <c r="E160" t="s">
        <v>22</v>
      </c>
      <c r="F160">
        <v>2503.61</v>
      </c>
      <c r="G160">
        <v>228</v>
      </c>
      <c r="H160">
        <v>156.85</v>
      </c>
      <c r="I160">
        <v>489803.76</v>
      </c>
      <c r="J160">
        <v>22862</v>
      </c>
      <c r="K160">
        <v>1271</v>
      </c>
      <c r="L160">
        <v>605083</v>
      </c>
      <c r="M160">
        <v>104355.66</v>
      </c>
      <c r="N160">
        <v>9402</v>
      </c>
    </row>
    <row r="161" spans="1:14" x14ac:dyDescent="0.3">
      <c r="A161" t="s">
        <v>50</v>
      </c>
      <c r="B161" t="s">
        <v>51</v>
      </c>
      <c r="C161">
        <v>2023</v>
      </c>
      <c r="D161">
        <v>90197</v>
      </c>
      <c r="E161" t="s">
        <v>49</v>
      </c>
      <c r="F161">
        <v>513.14</v>
      </c>
      <c r="G161">
        <v>311</v>
      </c>
      <c r="H161">
        <v>70.540000000000006</v>
      </c>
      <c r="I161">
        <v>46283.69</v>
      </c>
      <c r="J161">
        <v>45583</v>
      </c>
      <c r="K161">
        <v>4957</v>
      </c>
      <c r="L161">
        <v>467216</v>
      </c>
      <c r="M161">
        <v>7786.9</v>
      </c>
      <c r="N161">
        <v>5908</v>
      </c>
    </row>
    <row r="162" spans="1:14" x14ac:dyDescent="0.3">
      <c r="A162" t="s">
        <v>14</v>
      </c>
      <c r="B162" t="s">
        <v>28</v>
      </c>
      <c r="C162">
        <v>2023</v>
      </c>
      <c r="D162">
        <v>187868</v>
      </c>
      <c r="E162" t="s">
        <v>22</v>
      </c>
      <c r="F162">
        <v>4343.6099999999997</v>
      </c>
      <c r="G162">
        <v>185</v>
      </c>
      <c r="H162">
        <v>66.52</v>
      </c>
      <c r="I162">
        <v>816025.32</v>
      </c>
      <c r="J162">
        <v>42755</v>
      </c>
      <c r="K162">
        <v>840</v>
      </c>
      <c r="L162">
        <v>315972</v>
      </c>
      <c r="M162">
        <v>145388.73000000001</v>
      </c>
      <c r="N162">
        <v>5012</v>
      </c>
    </row>
    <row r="163" spans="1:14" x14ac:dyDescent="0.3">
      <c r="A163" t="s">
        <v>56</v>
      </c>
      <c r="B163" t="s">
        <v>71</v>
      </c>
      <c r="C163">
        <v>2020</v>
      </c>
      <c r="D163">
        <v>54648</v>
      </c>
      <c r="E163" t="s">
        <v>16</v>
      </c>
      <c r="F163">
        <v>2892.2</v>
      </c>
      <c r="G163">
        <v>232</v>
      </c>
      <c r="H163">
        <v>443.4</v>
      </c>
      <c r="I163">
        <v>158052.95000000001</v>
      </c>
      <c r="J163">
        <v>9492</v>
      </c>
      <c r="K163">
        <v>2017</v>
      </c>
      <c r="L163">
        <v>655842</v>
      </c>
      <c r="M163">
        <v>44627.31</v>
      </c>
      <c r="N163">
        <v>6232</v>
      </c>
    </row>
    <row r="164" spans="1:14" x14ac:dyDescent="0.3">
      <c r="A164" t="s">
        <v>20</v>
      </c>
      <c r="B164" t="s">
        <v>29</v>
      </c>
      <c r="C164">
        <v>2023</v>
      </c>
      <c r="D164">
        <v>184393</v>
      </c>
      <c r="E164" t="s">
        <v>16</v>
      </c>
      <c r="F164">
        <v>4382.96</v>
      </c>
      <c r="G164">
        <v>207</v>
      </c>
      <c r="H164">
        <v>165.92</v>
      </c>
      <c r="I164">
        <v>808187.14</v>
      </c>
      <c r="J164">
        <v>5726</v>
      </c>
      <c r="K164">
        <v>2375</v>
      </c>
      <c r="L164">
        <v>335521</v>
      </c>
      <c r="M164">
        <v>174829.49</v>
      </c>
      <c r="N164">
        <v>1874</v>
      </c>
    </row>
    <row r="165" spans="1:14" x14ac:dyDescent="0.3">
      <c r="A165" t="s">
        <v>26</v>
      </c>
      <c r="B165" t="s">
        <v>27</v>
      </c>
      <c r="C165">
        <v>2022</v>
      </c>
      <c r="D165">
        <v>60651</v>
      </c>
      <c r="E165" t="s">
        <v>49</v>
      </c>
      <c r="F165">
        <v>4551.45</v>
      </c>
      <c r="G165">
        <v>292</v>
      </c>
      <c r="H165">
        <v>209.65</v>
      </c>
      <c r="I165">
        <v>276049.99</v>
      </c>
      <c r="J165">
        <v>10889</v>
      </c>
      <c r="K165">
        <v>4700</v>
      </c>
      <c r="L165">
        <v>951321</v>
      </c>
      <c r="M165">
        <v>54772.51</v>
      </c>
      <c r="N165">
        <v>7644</v>
      </c>
    </row>
    <row r="166" spans="1:14" x14ac:dyDescent="0.3">
      <c r="A166" t="s">
        <v>26</v>
      </c>
      <c r="B166" t="s">
        <v>27</v>
      </c>
      <c r="C166">
        <v>2021</v>
      </c>
      <c r="D166">
        <v>156022</v>
      </c>
      <c r="E166" t="s">
        <v>37</v>
      </c>
      <c r="F166">
        <v>3757.88</v>
      </c>
      <c r="G166">
        <v>51</v>
      </c>
      <c r="H166">
        <v>288.5</v>
      </c>
      <c r="I166">
        <v>586311.94999999995</v>
      </c>
      <c r="J166">
        <v>38154</v>
      </c>
      <c r="K166">
        <v>4508</v>
      </c>
      <c r="L166">
        <v>734029</v>
      </c>
      <c r="M166">
        <v>95107.58</v>
      </c>
      <c r="N166">
        <v>4769</v>
      </c>
    </row>
    <row r="167" spans="1:14" x14ac:dyDescent="0.3">
      <c r="A167" t="s">
        <v>56</v>
      </c>
      <c r="B167" t="s">
        <v>57</v>
      </c>
      <c r="C167">
        <v>2021</v>
      </c>
      <c r="D167">
        <v>169006</v>
      </c>
      <c r="E167" t="s">
        <v>49</v>
      </c>
      <c r="F167">
        <v>4175.25</v>
      </c>
      <c r="G167">
        <v>326</v>
      </c>
      <c r="H167">
        <v>361.62</v>
      </c>
      <c r="I167">
        <v>705642.3</v>
      </c>
      <c r="J167">
        <v>40426</v>
      </c>
      <c r="K167">
        <v>2620</v>
      </c>
      <c r="L167">
        <v>742148</v>
      </c>
      <c r="M167">
        <v>139414.73000000001</v>
      </c>
      <c r="N167">
        <v>3343</v>
      </c>
    </row>
    <row r="168" spans="1:14" x14ac:dyDescent="0.3">
      <c r="A168" t="s">
        <v>30</v>
      </c>
      <c r="B168" t="s">
        <v>92</v>
      </c>
      <c r="C168">
        <v>2023</v>
      </c>
      <c r="D168">
        <v>89758</v>
      </c>
      <c r="E168" t="s">
        <v>19</v>
      </c>
      <c r="F168">
        <v>944.93</v>
      </c>
      <c r="G168">
        <v>209</v>
      </c>
      <c r="H168">
        <v>217.03</v>
      </c>
      <c r="I168">
        <v>84815.03</v>
      </c>
      <c r="J168">
        <v>6141</v>
      </c>
      <c r="K168">
        <v>4500</v>
      </c>
      <c r="L168">
        <v>813799</v>
      </c>
      <c r="M168">
        <v>7778.81</v>
      </c>
      <c r="N168">
        <v>2706</v>
      </c>
    </row>
    <row r="169" spans="1:14" x14ac:dyDescent="0.3">
      <c r="A169" t="s">
        <v>40</v>
      </c>
      <c r="B169" t="s">
        <v>41</v>
      </c>
      <c r="C169">
        <v>2024</v>
      </c>
      <c r="D169">
        <v>167961</v>
      </c>
      <c r="E169" t="s">
        <v>19</v>
      </c>
      <c r="F169">
        <v>3366.06</v>
      </c>
      <c r="G169">
        <v>175</v>
      </c>
      <c r="H169">
        <v>318.19</v>
      </c>
      <c r="I169">
        <v>565366.80000000005</v>
      </c>
      <c r="J169">
        <v>16120</v>
      </c>
      <c r="K169">
        <v>1429</v>
      </c>
      <c r="L169">
        <v>782847</v>
      </c>
      <c r="M169">
        <v>167919.02</v>
      </c>
      <c r="N169">
        <v>7080</v>
      </c>
    </row>
    <row r="170" spans="1:14" x14ac:dyDescent="0.3">
      <c r="A170" t="s">
        <v>23</v>
      </c>
      <c r="B170" t="s">
        <v>24</v>
      </c>
      <c r="C170">
        <v>2024</v>
      </c>
      <c r="D170">
        <v>188141</v>
      </c>
      <c r="E170" t="s">
        <v>47</v>
      </c>
      <c r="F170">
        <v>2774.55</v>
      </c>
      <c r="G170">
        <v>309</v>
      </c>
      <c r="H170">
        <v>94.69</v>
      </c>
      <c r="I170">
        <v>522006.61</v>
      </c>
      <c r="J170">
        <v>12597</v>
      </c>
      <c r="K170">
        <v>1757</v>
      </c>
      <c r="L170">
        <v>782722</v>
      </c>
      <c r="M170">
        <v>124787.46</v>
      </c>
      <c r="N170">
        <v>2272</v>
      </c>
    </row>
    <row r="171" spans="1:14" x14ac:dyDescent="0.3">
      <c r="A171" t="s">
        <v>32</v>
      </c>
      <c r="B171" t="s">
        <v>33</v>
      </c>
      <c r="C171">
        <v>2023</v>
      </c>
      <c r="D171">
        <v>58036</v>
      </c>
      <c r="E171" t="s">
        <v>47</v>
      </c>
      <c r="F171">
        <v>2498.5700000000002</v>
      </c>
      <c r="G171">
        <v>250</v>
      </c>
      <c r="H171">
        <v>492.81</v>
      </c>
      <c r="I171">
        <v>145007.01</v>
      </c>
      <c r="J171">
        <v>25538</v>
      </c>
      <c r="K171">
        <v>2436</v>
      </c>
      <c r="L171">
        <v>109500</v>
      </c>
      <c r="M171">
        <v>35292.49</v>
      </c>
      <c r="N171">
        <v>8656</v>
      </c>
    </row>
    <row r="172" spans="1:14" x14ac:dyDescent="0.3">
      <c r="A172" t="s">
        <v>61</v>
      </c>
      <c r="B172" t="s">
        <v>68</v>
      </c>
      <c r="C172">
        <v>2023</v>
      </c>
      <c r="D172">
        <v>136836</v>
      </c>
      <c r="E172" t="s">
        <v>25</v>
      </c>
      <c r="F172">
        <v>2481.9899999999998</v>
      </c>
      <c r="G172">
        <v>465</v>
      </c>
      <c r="H172">
        <v>369.06</v>
      </c>
      <c r="I172">
        <v>339625.58</v>
      </c>
      <c r="J172">
        <v>9857</v>
      </c>
      <c r="K172">
        <v>3489</v>
      </c>
      <c r="L172">
        <v>656590</v>
      </c>
      <c r="M172">
        <v>99036.3</v>
      </c>
      <c r="N172">
        <v>9595</v>
      </c>
    </row>
    <row r="173" spans="1:14" x14ac:dyDescent="0.3">
      <c r="A173" t="s">
        <v>61</v>
      </c>
      <c r="B173" t="s">
        <v>93</v>
      </c>
      <c r="C173">
        <v>2021</v>
      </c>
      <c r="D173">
        <v>131532</v>
      </c>
      <c r="E173" t="s">
        <v>22</v>
      </c>
      <c r="F173">
        <v>3318.05</v>
      </c>
      <c r="G173">
        <v>484</v>
      </c>
      <c r="H173">
        <v>402.07</v>
      </c>
      <c r="I173">
        <v>436429.75</v>
      </c>
      <c r="J173">
        <v>24554</v>
      </c>
      <c r="K173">
        <v>2651</v>
      </c>
      <c r="L173">
        <v>649253</v>
      </c>
      <c r="M173">
        <v>89540.160000000003</v>
      </c>
      <c r="N173">
        <v>8948</v>
      </c>
    </row>
    <row r="174" spans="1:14" x14ac:dyDescent="0.3">
      <c r="A174" t="s">
        <v>34</v>
      </c>
      <c r="B174" t="s">
        <v>94</v>
      </c>
      <c r="C174">
        <v>2024</v>
      </c>
      <c r="D174">
        <v>85428</v>
      </c>
      <c r="E174" t="s">
        <v>49</v>
      </c>
      <c r="F174">
        <v>1524.87</v>
      </c>
      <c r="G174">
        <v>166</v>
      </c>
      <c r="H174">
        <v>319.60000000000002</v>
      </c>
      <c r="I174">
        <v>130266.59</v>
      </c>
      <c r="J174">
        <v>31421</v>
      </c>
      <c r="K174">
        <v>3711</v>
      </c>
      <c r="L174">
        <v>650309</v>
      </c>
      <c r="M174">
        <v>32257.58</v>
      </c>
      <c r="N174">
        <v>657</v>
      </c>
    </row>
    <row r="175" spans="1:14" x14ac:dyDescent="0.3">
      <c r="A175" t="s">
        <v>17</v>
      </c>
      <c r="B175" t="s">
        <v>18</v>
      </c>
      <c r="C175">
        <v>2022</v>
      </c>
      <c r="D175">
        <v>98651</v>
      </c>
      <c r="E175" t="s">
        <v>16</v>
      </c>
      <c r="F175">
        <v>4771</v>
      </c>
      <c r="G175">
        <v>157</v>
      </c>
      <c r="H175">
        <v>267.52999999999997</v>
      </c>
      <c r="I175">
        <v>470663.92</v>
      </c>
      <c r="J175">
        <v>34535</v>
      </c>
      <c r="K175">
        <v>2110</v>
      </c>
      <c r="L175">
        <v>471280</v>
      </c>
      <c r="M175">
        <v>75450.22</v>
      </c>
      <c r="N175">
        <v>3636</v>
      </c>
    </row>
    <row r="176" spans="1:14" x14ac:dyDescent="0.3">
      <c r="A176" t="s">
        <v>56</v>
      </c>
      <c r="B176" t="s">
        <v>76</v>
      </c>
      <c r="C176">
        <v>2022</v>
      </c>
      <c r="D176">
        <v>163613</v>
      </c>
      <c r="E176" t="s">
        <v>19</v>
      </c>
      <c r="F176">
        <v>2495.5500000000002</v>
      </c>
      <c r="G176">
        <v>288</v>
      </c>
      <c r="H176">
        <v>308.08999999999997</v>
      </c>
      <c r="I176">
        <v>408304.42</v>
      </c>
      <c r="J176">
        <v>38132</v>
      </c>
      <c r="K176">
        <v>3058</v>
      </c>
      <c r="L176">
        <v>622744</v>
      </c>
      <c r="M176">
        <v>20738.580000000002</v>
      </c>
      <c r="N176">
        <v>7842</v>
      </c>
    </row>
    <row r="177" spans="1:14" x14ac:dyDescent="0.3">
      <c r="A177" t="s">
        <v>26</v>
      </c>
      <c r="B177" t="s">
        <v>78</v>
      </c>
      <c r="C177">
        <v>2020</v>
      </c>
      <c r="D177">
        <v>71826</v>
      </c>
      <c r="E177" t="s">
        <v>19</v>
      </c>
      <c r="F177">
        <v>2796.95</v>
      </c>
      <c r="G177">
        <v>336</v>
      </c>
      <c r="H177">
        <v>380.31</v>
      </c>
      <c r="I177">
        <v>200893.73</v>
      </c>
      <c r="J177">
        <v>38905</v>
      </c>
      <c r="K177">
        <v>3920</v>
      </c>
      <c r="L177">
        <v>186917</v>
      </c>
      <c r="M177">
        <v>44826.04</v>
      </c>
      <c r="N177">
        <v>6437</v>
      </c>
    </row>
    <row r="178" spans="1:14" x14ac:dyDescent="0.3">
      <c r="A178" t="s">
        <v>50</v>
      </c>
      <c r="B178" t="s">
        <v>86</v>
      </c>
      <c r="C178">
        <v>2020</v>
      </c>
      <c r="D178">
        <v>193016</v>
      </c>
      <c r="E178" t="s">
        <v>16</v>
      </c>
      <c r="F178">
        <v>1448.17</v>
      </c>
      <c r="G178">
        <v>352</v>
      </c>
      <c r="H178">
        <v>495.75</v>
      </c>
      <c r="I178">
        <v>279519.98</v>
      </c>
      <c r="J178">
        <v>15503</v>
      </c>
      <c r="K178">
        <v>4059</v>
      </c>
      <c r="L178">
        <v>848022</v>
      </c>
      <c r="M178">
        <v>17062.03</v>
      </c>
      <c r="N178">
        <v>4336</v>
      </c>
    </row>
    <row r="179" spans="1:14" x14ac:dyDescent="0.3">
      <c r="A179" t="s">
        <v>53</v>
      </c>
      <c r="B179" t="s">
        <v>85</v>
      </c>
      <c r="C179">
        <v>2023</v>
      </c>
      <c r="D179">
        <v>92727</v>
      </c>
      <c r="E179" t="s">
        <v>49</v>
      </c>
      <c r="F179">
        <v>4198.67</v>
      </c>
      <c r="G179">
        <v>306</v>
      </c>
      <c r="H179">
        <v>430.66</v>
      </c>
      <c r="I179">
        <v>389330.07</v>
      </c>
      <c r="J179">
        <v>15433</v>
      </c>
      <c r="K179">
        <v>4106</v>
      </c>
      <c r="L179">
        <v>389208</v>
      </c>
      <c r="M179">
        <v>46752.160000000003</v>
      </c>
      <c r="N179">
        <v>3755</v>
      </c>
    </row>
    <row r="180" spans="1:14" x14ac:dyDescent="0.3">
      <c r="A180" t="s">
        <v>56</v>
      </c>
      <c r="B180" t="s">
        <v>76</v>
      </c>
      <c r="C180">
        <v>2022</v>
      </c>
      <c r="D180">
        <v>91869</v>
      </c>
      <c r="E180" t="s">
        <v>37</v>
      </c>
      <c r="F180">
        <v>4764.6000000000004</v>
      </c>
      <c r="G180">
        <v>110</v>
      </c>
      <c r="H180">
        <v>95.42</v>
      </c>
      <c r="I180">
        <v>437719.03999999998</v>
      </c>
      <c r="J180">
        <v>13549</v>
      </c>
      <c r="K180">
        <v>2922</v>
      </c>
      <c r="L180">
        <v>193521</v>
      </c>
      <c r="M180">
        <v>99262.26</v>
      </c>
      <c r="N180">
        <v>2655</v>
      </c>
    </row>
    <row r="181" spans="1:14" x14ac:dyDescent="0.3">
      <c r="A181" t="s">
        <v>14</v>
      </c>
      <c r="B181" t="s">
        <v>28</v>
      </c>
      <c r="C181">
        <v>2024</v>
      </c>
      <c r="D181">
        <v>118487</v>
      </c>
      <c r="E181" t="s">
        <v>25</v>
      </c>
      <c r="F181">
        <v>1185.48</v>
      </c>
      <c r="G181">
        <v>167</v>
      </c>
      <c r="H181">
        <v>194.67</v>
      </c>
      <c r="I181">
        <v>140463.97</v>
      </c>
      <c r="J181">
        <v>33454</v>
      </c>
      <c r="K181">
        <v>936</v>
      </c>
      <c r="L181">
        <v>172258</v>
      </c>
      <c r="M181">
        <v>29771.95</v>
      </c>
      <c r="N181">
        <v>5665</v>
      </c>
    </row>
    <row r="182" spans="1:14" x14ac:dyDescent="0.3">
      <c r="A182" t="s">
        <v>26</v>
      </c>
      <c r="B182" t="s">
        <v>27</v>
      </c>
      <c r="C182">
        <v>2022</v>
      </c>
      <c r="D182">
        <v>171929</v>
      </c>
      <c r="E182" t="s">
        <v>19</v>
      </c>
      <c r="F182">
        <v>3311.53</v>
      </c>
      <c r="G182">
        <v>209</v>
      </c>
      <c r="H182">
        <v>286.83</v>
      </c>
      <c r="I182">
        <v>569348.04</v>
      </c>
      <c r="J182">
        <v>36921</v>
      </c>
      <c r="K182">
        <v>1511</v>
      </c>
      <c r="L182">
        <v>975748</v>
      </c>
      <c r="M182">
        <v>107108.74</v>
      </c>
      <c r="N182">
        <v>5685</v>
      </c>
    </row>
    <row r="183" spans="1:14" x14ac:dyDescent="0.3">
      <c r="A183" t="s">
        <v>20</v>
      </c>
      <c r="B183" t="s">
        <v>21</v>
      </c>
      <c r="C183">
        <v>2024</v>
      </c>
      <c r="D183">
        <v>124763</v>
      </c>
      <c r="E183" t="s">
        <v>25</v>
      </c>
      <c r="F183">
        <v>1779.23</v>
      </c>
      <c r="G183">
        <v>403</v>
      </c>
      <c r="H183">
        <v>374.77</v>
      </c>
      <c r="I183">
        <v>221982.07</v>
      </c>
      <c r="J183">
        <v>12016</v>
      </c>
      <c r="K183">
        <v>1764</v>
      </c>
      <c r="L183">
        <v>663369</v>
      </c>
      <c r="M183">
        <v>50780.55</v>
      </c>
      <c r="N183">
        <v>6156</v>
      </c>
    </row>
    <row r="184" spans="1:14" x14ac:dyDescent="0.3">
      <c r="A184" t="s">
        <v>63</v>
      </c>
      <c r="B184" t="s">
        <v>95</v>
      </c>
      <c r="C184">
        <v>2022</v>
      </c>
      <c r="D184">
        <v>130811</v>
      </c>
      <c r="E184" t="s">
        <v>47</v>
      </c>
      <c r="F184">
        <v>1923.22</v>
      </c>
      <c r="G184">
        <v>114</v>
      </c>
      <c r="H184">
        <v>108.47</v>
      </c>
      <c r="I184">
        <v>251578.33</v>
      </c>
      <c r="J184">
        <v>10793</v>
      </c>
      <c r="K184">
        <v>1318</v>
      </c>
      <c r="L184">
        <v>141218</v>
      </c>
      <c r="M184">
        <v>36310.18</v>
      </c>
      <c r="N184">
        <v>6461</v>
      </c>
    </row>
    <row r="185" spans="1:14" x14ac:dyDescent="0.3">
      <c r="A185" t="s">
        <v>23</v>
      </c>
      <c r="B185" t="s">
        <v>88</v>
      </c>
      <c r="C185">
        <v>2023</v>
      </c>
      <c r="D185">
        <v>112368</v>
      </c>
      <c r="E185" t="s">
        <v>25</v>
      </c>
      <c r="F185">
        <v>4299.12</v>
      </c>
      <c r="G185">
        <v>224</v>
      </c>
      <c r="H185">
        <v>125.13</v>
      </c>
      <c r="I185">
        <v>483083.52000000002</v>
      </c>
      <c r="J185">
        <v>17180</v>
      </c>
      <c r="K185">
        <v>1428</v>
      </c>
      <c r="L185">
        <v>561511</v>
      </c>
      <c r="M185">
        <v>138979.82999999999</v>
      </c>
      <c r="N185">
        <v>7222</v>
      </c>
    </row>
    <row r="186" spans="1:14" x14ac:dyDescent="0.3">
      <c r="A186" t="s">
        <v>14</v>
      </c>
      <c r="B186" t="s">
        <v>90</v>
      </c>
      <c r="C186">
        <v>2022</v>
      </c>
      <c r="D186">
        <v>55842</v>
      </c>
      <c r="E186" t="s">
        <v>19</v>
      </c>
      <c r="F186">
        <v>716.84</v>
      </c>
      <c r="G186">
        <v>353</v>
      </c>
      <c r="H186">
        <v>223.3</v>
      </c>
      <c r="I186">
        <v>40029.78</v>
      </c>
      <c r="J186">
        <v>30599</v>
      </c>
      <c r="K186">
        <v>3874</v>
      </c>
      <c r="L186">
        <v>641343</v>
      </c>
      <c r="M186">
        <v>5691.31</v>
      </c>
      <c r="N186">
        <v>2357</v>
      </c>
    </row>
    <row r="187" spans="1:14" x14ac:dyDescent="0.3">
      <c r="A187" t="s">
        <v>14</v>
      </c>
      <c r="B187" t="s">
        <v>15</v>
      </c>
      <c r="C187">
        <v>2022</v>
      </c>
      <c r="D187">
        <v>77364</v>
      </c>
      <c r="E187" t="s">
        <v>37</v>
      </c>
      <c r="F187">
        <v>4326.57</v>
      </c>
      <c r="G187">
        <v>378</v>
      </c>
      <c r="H187">
        <v>441.39</v>
      </c>
      <c r="I187">
        <v>334720.76</v>
      </c>
      <c r="J187">
        <v>39773</v>
      </c>
      <c r="K187">
        <v>3168</v>
      </c>
      <c r="L187">
        <v>551590</v>
      </c>
      <c r="M187">
        <v>41446.92</v>
      </c>
      <c r="N187">
        <v>6569</v>
      </c>
    </row>
    <row r="188" spans="1:14" x14ac:dyDescent="0.3">
      <c r="A188" t="s">
        <v>61</v>
      </c>
      <c r="B188" t="s">
        <v>93</v>
      </c>
      <c r="C188">
        <v>2023</v>
      </c>
      <c r="D188">
        <v>108283</v>
      </c>
      <c r="E188" t="s">
        <v>16</v>
      </c>
      <c r="F188">
        <v>3709.43</v>
      </c>
      <c r="G188">
        <v>405</v>
      </c>
      <c r="H188">
        <v>88.4</v>
      </c>
      <c r="I188">
        <v>401668.21</v>
      </c>
      <c r="J188">
        <v>38002</v>
      </c>
      <c r="K188">
        <v>2596</v>
      </c>
      <c r="L188">
        <v>840645</v>
      </c>
      <c r="M188">
        <v>74690.78</v>
      </c>
      <c r="N188">
        <v>3273</v>
      </c>
    </row>
    <row r="189" spans="1:14" x14ac:dyDescent="0.3">
      <c r="A189" t="s">
        <v>45</v>
      </c>
      <c r="B189" t="s">
        <v>66</v>
      </c>
      <c r="C189">
        <v>2021</v>
      </c>
      <c r="D189">
        <v>68199</v>
      </c>
      <c r="E189" t="s">
        <v>22</v>
      </c>
      <c r="F189">
        <v>3692.22</v>
      </c>
      <c r="G189">
        <v>212</v>
      </c>
      <c r="H189">
        <v>271.79000000000002</v>
      </c>
      <c r="I189">
        <v>251805.71</v>
      </c>
      <c r="J189">
        <v>39926</v>
      </c>
      <c r="K189">
        <v>4351</v>
      </c>
      <c r="L189">
        <v>741381</v>
      </c>
      <c r="M189">
        <v>58221.04</v>
      </c>
      <c r="N189">
        <v>4023</v>
      </c>
    </row>
    <row r="190" spans="1:14" x14ac:dyDescent="0.3">
      <c r="A190" t="s">
        <v>53</v>
      </c>
      <c r="B190" t="s">
        <v>54</v>
      </c>
      <c r="C190">
        <v>2023</v>
      </c>
      <c r="D190">
        <v>152518</v>
      </c>
      <c r="E190" t="s">
        <v>37</v>
      </c>
      <c r="F190">
        <v>3978.15</v>
      </c>
      <c r="G190">
        <v>235</v>
      </c>
      <c r="H190">
        <v>435.71</v>
      </c>
      <c r="I190">
        <v>606739.48</v>
      </c>
      <c r="J190">
        <v>37245</v>
      </c>
      <c r="K190">
        <v>2722</v>
      </c>
      <c r="L190">
        <v>164397</v>
      </c>
      <c r="M190">
        <v>57904.06</v>
      </c>
      <c r="N190">
        <v>6298</v>
      </c>
    </row>
    <row r="191" spans="1:14" x14ac:dyDescent="0.3">
      <c r="A191" t="s">
        <v>69</v>
      </c>
      <c r="B191" t="s">
        <v>70</v>
      </c>
      <c r="C191">
        <v>2023</v>
      </c>
      <c r="D191">
        <v>119561</v>
      </c>
      <c r="E191" t="s">
        <v>19</v>
      </c>
      <c r="F191">
        <v>3388.37</v>
      </c>
      <c r="G191">
        <v>257</v>
      </c>
      <c r="H191">
        <v>184.91</v>
      </c>
      <c r="I191">
        <v>405116.91</v>
      </c>
      <c r="J191">
        <v>25963</v>
      </c>
      <c r="K191">
        <v>4902</v>
      </c>
      <c r="L191">
        <v>726296</v>
      </c>
      <c r="M191">
        <v>104293.61</v>
      </c>
      <c r="N191">
        <v>8935</v>
      </c>
    </row>
    <row r="192" spans="1:14" x14ac:dyDescent="0.3">
      <c r="A192" t="s">
        <v>26</v>
      </c>
      <c r="B192" t="s">
        <v>27</v>
      </c>
      <c r="C192">
        <v>2020</v>
      </c>
      <c r="D192">
        <v>140306</v>
      </c>
      <c r="E192" t="s">
        <v>25</v>
      </c>
      <c r="F192">
        <v>4718.2</v>
      </c>
      <c r="G192">
        <v>254</v>
      </c>
      <c r="H192">
        <v>386.35</v>
      </c>
      <c r="I192">
        <v>661991.77</v>
      </c>
      <c r="J192">
        <v>44382</v>
      </c>
      <c r="K192">
        <v>1015</v>
      </c>
      <c r="L192">
        <v>162217</v>
      </c>
      <c r="M192">
        <v>72679.87</v>
      </c>
      <c r="N192">
        <v>6783</v>
      </c>
    </row>
    <row r="193" spans="1:14" x14ac:dyDescent="0.3">
      <c r="A193" t="s">
        <v>50</v>
      </c>
      <c r="B193" t="s">
        <v>77</v>
      </c>
      <c r="C193">
        <v>2024</v>
      </c>
      <c r="D193">
        <v>99429</v>
      </c>
      <c r="E193" t="s">
        <v>22</v>
      </c>
      <c r="F193">
        <v>1514.22</v>
      </c>
      <c r="G193">
        <v>411</v>
      </c>
      <c r="H193">
        <v>453.23</v>
      </c>
      <c r="I193">
        <v>150557.38</v>
      </c>
      <c r="J193">
        <v>36226</v>
      </c>
      <c r="K193">
        <v>960</v>
      </c>
      <c r="L193">
        <v>430596</v>
      </c>
      <c r="M193">
        <v>41644.959999999999</v>
      </c>
      <c r="N193">
        <v>6807</v>
      </c>
    </row>
    <row r="194" spans="1:14" x14ac:dyDescent="0.3">
      <c r="A194" t="s">
        <v>30</v>
      </c>
      <c r="B194" t="s">
        <v>31</v>
      </c>
      <c r="C194">
        <v>2023</v>
      </c>
      <c r="D194">
        <v>73989</v>
      </c>
      <c r="E194" t="s">
        <v>49</v>
      </c>
      <c r="F194">
        <v>4505.6400000000003</v>
      </c>
      <c r="G194">
        <v>291</v>
      </c>
      <c r="H194">
        <v>360.54</v>
      </c>
      <c r="I194">
        <v>333367.8</v>
      </c>
      <c r="J194">
        <v>21241</v>
      </c>
      <c r="K194">
        <v>2795</v>
      </c>
      <c r="L194">
        <v>543216</v>
      </c>
      <c r="M194">
        <v>60811.26</v>
      </c>
      <c r="N194">
        <v>7657</v>
      </c>
    </row>
    <row r="195" spans="1:14" x14ac:dyDescent="0.3">
      <c r="A195" t="s">
        <v>26</v>
      </c>
      <c r="B195" t="s">
        <v>78</v>
      </c>
      <c r="C195">
        <v>2022</v>
      </c>
      <c r="D195">
        <v>94605</v>
      </c>
      <c r="E195" t="s">
        <v>49</v>
      </c>
      <c r="F195">
        <v>2568.4899999999998</v>
      </c>
      <c r="G195">
        <v>446</v>
      </c>
      <c r="H195">
        <v>256.37</v>
      </c>
      <c r="I195">
        <v>242992</v>
      </c>
      <c r="J195">
        <v>35722</v>
      </c>
      <c r="K195">
        <v>1616</v>
      </c>
      <c r="L195">
        <v>617815</v>
      </c>
      <c r="M195">
        <v>15185.73</v>
      </c>
      <c r="N195">
        <v>9838</v>
      </c>
    </row>
    <row r="196" spans="1:14" x14ac:dyDescent="0.3">
      <c r="A196" t="s">
        <v>32</v>
      </c>
      <c r="B196" t="s">
        <v>33</v>
      </c>
      <c r="C196">
        <v>2021</v>
      </c>
      <c r="D196">
        <v>104110</v>
      </c>
      <c r="E196" t="s">
        <v>19</v>
      </c>
      <c r="F196">
        <v>4822.82</v>
      </c>
      <c r="G196">
        <v>404</v>
      </c>
      <c r="H196">
        <v>274.20999999999998</v>
      </c>
      <c r="I196">
        <v>502103.79</v>
      </c>
      <c r="J196">
        <v>35527</v>
      </c>
      <c r="K196">
        <v>2993</v>
      </c>
      <c r="L196">
        <v>925512</v>
      </c>
      <c r="M196">
        <v>82717.02</v>
      </c>
      <c r="N196">
        <v>9575</v>
      </c>
    </row>
    <row r="197" spans="1:14" x14ac:dyDescent="0.3">
      <c r="A197" t="s">
        <v>45</v>
      </c>
      <c r="B197" t="s">
        <v>46</v>
      </c>
      <c r="C197">
        <v>2020</v>
      </c>
      <c r="D197">
        <v>75372</v>
      </c>
      <c r="E197" t="s">
        <v>25</v>
      </c>
      <c r="F197">
        <v>4746.66</v>
      </c>
      <c r="G197">
        <v>294</v>
      </c>
      <c r="H197">
        <v>478.8</v>
      </c>
      <c r="I197">
        <v>357765.26</v>
      </c>
      <c r="J197">
        <v>10366</v>
      </c>
      <c r="K197">
        <v>2909</v>
      </c>
      <c r="L197">
        <v>451415</v>
      </c>
      <c r="M197">
        <v>45615.07</v>
      </c>
      <c r="N197">
        <v>3767</v>
      </c>
    </row>
    <row r="198" spans="1:14" x14ac:dyDescent="0.3">
      <c r="A198" t="s">
        <v>61</v>
      </c>
      <c r="B198" t="s">
        <v>68</v>
      </c>
      <c r="C198">
        <v>2021</v>
      </c>
      <c r="D198">
        <v>143783</v>
      </c>
      <c r="E198" t="s">
        <v>19</v>
      </c>
      <c r="F198">
        <v>4348.43</v>
      </c>
      <c r="G198">
        <v>470</v>
      </c>
      <c r="H198">
        <v>54.07</v>
      </c>
      <c r="I198">
        <v>625230.31000000006</v>
      </c>
      <c r="J198">
        <v>23020</v>
      </c>
      <c r="K198">
        <v>4509</v>
      </c>
      <c r="L198">
        <v>331854</v>
      </c>
      <c r="M198">
        <v>65973.66</v>
      </c>
      <c r="N198">
        <v>5822</v>
      </c>
    </row>
    <row r="199" spans="1:14" x14ac:dyDescent="0.3">
      <c r="A199" t="s">
        <v>61</v>
      </c>
      <c r="B199" t="s">
        <v>62</v>
      </c>
      <c r="C199">
        <v>2021</v>
      </c>
      <c r="D199">
        <v>131050</v>
      </c>
      <c r="E199" t="s">
        <v>37</v>
      </c>
      <c r="F199">
        <v>2664.01</v>
      </c>
      <c r="G199">
        <v>59</v>
      </c>
      <c r="H199">
        <v>455.62</v>
      </c>
      <c r="I199">
        <v>349118.51</v>
      </c>
      <c r="J199">
        <v>45695</v>
      </c>
      <c r="K199">
        <v>2676</v>
      </c>
      <c r="L199">
        <v>157096</v>
      </c>
      <c r="M199">
        <v>49899.86</v>
      </c>
      <c r="N199">
        <v>3796</v>
      </c>
    </row>
    <row r="200" spans="1:14" x14ac:dyDescent="0.3">
      <c r="A200" t="s">
        <v>53</v>
      </c>
      <c r="B200" t="s">
        <v>81</v>
      </c>
      <c r="C200">
        <v>2024</v>
      </c>
      <c r="D200">
        <v>176310</v>
      </c>
      <c r="E200" t="s">
        <v>49</v>
      </c>
      <c r="F200">
        <v>2107.0500000000002</v>
      </c>
      <c r="G200">
        <v>165</v>
      </c>
      <c r="H200">
        <v>223.85</v>
      </c>
      <c r="I200">
        <v>371493.99</v>
      </c>
      <c r="J200">
        <v>22076</v>
      </c>
      <c r="K200">
        <v>3508</v>
      </c>
      <c r="L200">
        <v>756673</v>
      </c>
      <c r="M200">
        <v>100057.78</v>
      </c>
      <c r="N200">
        <v>9356</v>
      </c>
    </row>
    <row r="201" spans="1:14" x14ac:dyDescent="0.3">
      <c r="A201" t="s">
        <v>59</v>
      </c>
      <c r="B201" t="s">
        <v>89</v>
      </c>
      <c r="C201">
        <v>2022</v>
      </c>
      <c r="D201">
        <v>84681</v>
      </c>
      <c r="E201" t="s">
        <v>16</v>
      </c>
      <c r="F201">
        <v>1166.8</v>
      </c>
      <c r="G201">
        <v>474</v>
      </c>
      <c r="H201">
        <v>477.71</v>
      </c>
      <c r="I201">
        <v>98805.79</v>
      </c>
      <c r="J201">
        <v>17996</v>
      </c>
      <c r="K201">
        <v>3371</v>
      </c>
      <c r="L201">
        <v>96002</v>
      </c>
      <c r="M201">
        <v>13001.32</v>
      </c>
      <c r="N201">
        <v>6397</v>
      </c>
    </row>
    <row r="202" spans="1:14" x14ac:dyDescent="0.3">
      <c r="A202" t="s">
        <v>45</v>
      </c>
      <c r="B202" t="s">
        <v>52</v>
      </c>
      <c r="C202">
        <v>2023</v>
      </c>
      <c r="D202">
        <v>57812</v>
      </c>
      <c r="E202" t="s">
        <v>47</v>
      </c>
      <c r="F202">
        <v>4011.64</v>
      </c>
      <c r="G202">
        <v>448</v>
      </c>
      <c r="H202">
        <v>295.02999999999997</v>
      </c>
      <c r="I202">
        <v>231920.93</v>
      </c>
      <c r="J202">
        <v>40948</v>
      </c>
      <c r="K202">
        <v>1891</v>
      </c>
      <c r="L202">
        <v>143330</v>
      </c>
      <c r="M202">
        <v>13498.36</v>
      </c>
      <c r="N202">
        <v>2568</v>
      </c>
    </row>
    <row r="203" spans="1:14" x14ac:dyDescent="0.3">
      <c r="A203" t="s">
        <v>40</v>
      </c>
      <c r="B203" t="s">
        <v>41</v>
      </c>
      <c r="C203">
        <v>2021</v>
      </c>
      <c r="D203">
        <v>141502</v>
      </c>
      <c r="E203" t="s">
        <v>47</v>
      </c>
      <c r="F203">
        <v>4261.22</v>
      </c>
      <c r="G203">
        <v>73</v>
      </c>
      <c r="H203">
        <v>208.67</v>
      </c>
      <c r="I203">
        <v>602971.15</v>
      </c>
      <c r="J203">
        <v>24459</v>
      </c>
      <c r="K203">
        <v>2980</v>
      </c>
      <c r="L203">
        <v>187686</v>
      </c>
      <c r="M203">
        <v>73868.37</v>
      </c>
      <c r="N203">
        <v>4876</v>
      </c>
    </row>
    <row r="204" spans="1:14" x14ac:dyDescent="0.3">
      <c r="A204" t="s">
        <v>34</v>
      </c>
      <c r="B204" t="s">
        <v>67</v>
      </c>
      <c r="C204">
        <v>2024</v>
      </c>
      <c r="D204">
        <v>99976</v>
      </c>
      <c r="E204" t="s">
        <v>16</v>
      </c>
      <c r="F204">
        <v>775.99</v>
      </c>
      <c r="G204">
        <v>362</v>
      </c>
      <c r="H204">
        <v>487.89</v>
      </c>
      <c r="I204">
        <v>77580.38</v>
      </c>
      <c r="J204">
        <v>27918</v>
      </c>
      <c r="K204">
        <v>3656</v>
      </c>
      <c r="L204">
        <v>874834</v>
      </c>
      <c r="M204">
        <v>4885.6400000000003</v>
      </c>
      <c r="N204">
        <v>3340</v>
      </c>
    </row>
    <row r="205" spans="1:14" x14ac:dyDescent="0.3">
      <c r="A205" t="s">
        <v>59</v>
      </c>
      <c r="B205" t="s">
        <v>60</v>
      </c>
      <c r="C205">
        <v>2022</v>
      </c>
      <c r="D205">
        <v>143526</v>
      </c>
      <c r="E205" t="s">
        <v>37</v>
      </c>
      <c r="F205">
        <v>4532.18</v>
      </c>
      <c r="G205">
        <v>161</v>
      </c>
      <c r="H205">
        <v>417.55</v>
      </c>
      <c r="I205">
        <v>650485.67000000004</v>
      </c>
      <c r="J205">
        <v>21589</v>
      </c>
      <c r="K205">
        <v>3950</v>
      </c>
      <c r="L205">
        <v>188286</v>
      </c>
      <c r="M205">
        <v>192683.35</v>
      </c>
      <c r="N205">
        <v>8563</v>
      </c>
    </row>
    <row r="206" spans="1:14" x14ac:dyDescent="0.3">
      <c r="A206" t="s">
        <v>53</v>
      </c>
      <c r="B206" t="s">
        <v>85</v>
      </c>
      <c r="C206">
        <v>2020</v>
      </c>
      <c r="D206">
        <v>160138</v>
      </c>
      <c r="E206" t="s">
        <v>25</v>
      </c>
      <c r="F206">
        <v>3892.23</v>
      </c>
      <c r="G206">
        <v>211</v>
      </c>
      <c r="H206">
        <v>401.28</v>
      </c>
      <c r="I206">
        <v>623293.93000000005</v>
      </c>
      <c r="J206">
        <v>13712</v>
      </c>
      <c r="K206">
        <v>4051</v>
      </c>
      <c r="L206">
        <v>848729</v>
      </c>
      <c r="M206">
        <v>87527.65</v>
      </c>
      <c r="N206">
        <v>2900</v>
      </c>
    </row>
    <row r="207" spans="1:14" x14ac:dyDescent="0.3">
      <c r="A207" t="s">
        <v>17</v>
      </c>
      <c r="B207" t="s">
        <v>82</v>
      </c>
      <c r="C207">
        <v>2020</v>
      </c>
      <c r="D207">
        <v>183682</v>
      </c>
      <c r="E207" t="s">
        <v>37</v>
      </c>
      <c r="F207">
        <v>4698.16</v>
      </c>
      <c r="G207">
        <v>153</v>
      </c>
      <c r="H207">
        <v>131.09</v>
      </c>
      <c r="I207">
        <v>862967.43</v>
      </c>
      <c r="J207">
        <v>6914</v>
      </c>
      <c r="K207">
        <v>1506</v>
      </c>
      <c r="L207">
        <v>115942</v>
      </c>
      <c r="M207">
        <v>226630.7</v>
      </c>
      <c r="N207">
        <v>2220</v>
      </c>
    </row>
    <row r="208" spans="1:14" x14ac:dyDescent="0.3">
      <c r="A208" t="s">
        <v>34</v>
      </c>
      <c r="B208" t="s">
        <v>67</v>
      </c>
      <c r="C208">
        <v>2022</v>
      </c>
      <c r="D208">
        <v>71644</v>
      </c>
      <c r="E208" t="s">
        <v>22</v>
      </c>
      <c r="F208">
        <v>3493.16</v>
      </c>
      <c r="G208">
        <v>386</v>
      </c>
      <c r="H208">
        <v>365.53</v>
      </c>
      <c r="I208">
        <v>250263.96</v>
      </c>
      <c r="J208">
        <v>30675</v>
      </c>
      <c r="K208">
        <v>2656</v>
      </c>
      <c r="L208">
        <v>347142</v>
      </c>
      <c r="M208">
        <v>32032.79</v>
      </c>
      <c r="N208">
        <v>7719</v>
      </c>
    </row>
    <row r="209" spans="1:14" x14ac:dyDescent="0.3">
      <c r="A209" t="s">
        <v>73</v>
      </c>
      <c r="B209" t="s">
        <v>75</v>
      </c>
      <c r="C209">
        <v>2020</v>
      </c>
      <c r="D209">
        <v>121569</v>
      </c>
      <c r="E209" t="s">
        <v>16</v>
      </c>
      <c r="F209">
        <v>4019.77</v>
      </c>
      <c r="G209">
        <v>127</v>
      </c>
      <c r="H209">
        <v>366.66</v>
      </c>
      <c r="I209">
        <v>488679.42</v>
      </c>
      <c r="J209">
        <v>9769</v>
      </c>
      <c r="K209">
        <v>3886</v>
      </c>
      <c r="L209">
        <v>528108</v>
      </c>
      <c r="M209">
        <v>91191.28</v>
      </c>
      <c r="N209">
        <v>6526</v>
      </c>
    </row>
    <row r="210" spans="1:14" x14ac:dyDescent="0.3">
      <c r="A210" t="s">
        <v>40</v>
      </c>
      <c r="B210" t="s">
        <v>41</v>
      </c>
      <c r="C210">
        <v>2023</v>
      </c>
      <c r="D210">
        <v>159903</v>
      </c>
      <c r="E210" t="s">
        <v>25</v>
      </c>
      <c r="F210">
        <v>1306.6500000000001</v>
      </c>
      <c r="G210">
        <v>196</v>
      </c>
      <c r="H210">
        <v>228.45</v>
      </c>
      <c r="I210">
        <v>208937.25</v>
      </c>
      <c r="J210">
        <v>9986</v>
      </c>
      <c r="K210">
        <v>4231</v>
      </c>
      <c r="L210">
        <v>696238</v>
      </c>
      <c r="M210">
        <v>25597.19</v>
      </c>
      <c r="N210">
        <v>3377</v>
      </c>
    </row>
    <row r="211" spans="1:14" x14ac:dyDescent="0.3">
      <c r="A211" t="s">
        <v>32</v>
      </c>
      <c r="B211" t="s">
        <v>96</v>
      </c>
      <c r="C211">
        <v>2020</v>
      </c>
      <c r="D211">
        <v>177426</v>
      </c>
      <c r="E211" t="s">
        <v>25</v>
      </c>
      <c r="F211">
        <v>4918.58</v>
      </c>
      <c r="G211">
        <v>377</v>
      </c>
      <c r="H211">
        <v>73.33</v>
      </c>
      <c r="I211">
        <v>872683.98</v>
      </c>
      <c r="J211">
        <v>5112</v>
      </c>
      <c r="K211">
        <v>2878</v>
      </c>
      <c r="L211">
        <v>142036</v>
      </c>
      <c r="M211">
        <v>179182.19</v>
      </c>
      <c r="N211">
        <v>6361</v>
      </c>
    </row>
    <row r="212" spans="1:14" x14ac:dyDescent="0.3">
      <c r="A212" t="s">
        <v>63</v>
      </c>
      <c r="B212" t="s">
        <v>87</v>
      </c>
      <c r="C212">
        <v>2024</v>
      </c>
      <c r="D212">
        <v>50887</v>
      </c>
      <c r="E212" t="s">
        <v>19</v>
      </c>
      <c r="F212">
        <v>1785.91</v>
      </c>
      <c r="G212">
        <v>68</v>
      </c>
      <c r="H212">
        <v>354.89</v>
      </c>
      <c r="I212">
        <v>90879.6</v>
      </c>
      <c r="J212">
        <v>31049</v>
      </c>
      <c r="K212">
        <v>951</v>
      </c>
      <c r="L212">
        <v>547952</v>
      </c>
      <c r="M212">
        <v>19799.919999999998</v>
      </c>
      <c r="N212">
        <v>6041</v>
      </c>
    </row>
    <row r="213" spans="1:14" x14ac:dyDescent="0.3">
      <c r="A213" t="s">
        <v>59</v>
      </c>
      <c r="B213" t="s">
        <v>60</v>
      </c>
      <c r="C213">
        <v>2022</v>
      </c>
      <c r="D213">
        <v>172332</v>
      </c>
      <c r="E213" t="s">
        <v>37</v>
      </c>
      <c r="F213">
        <v>1750.34</v>
      </c>
      <c r="G213">
        <v>251</v>
      </c>
      <c r="H213">
        <v>461.63</v>
      </c>
      <c r="I213">
        <v>301639.59000000003</v>
      </c>
      <c r="J213">
        <v>30991</v>
      </c>
      <c r="K213">
        <v>701</v>
      </c>
      <c r="L213">
        <v>760672</v>
      </c>
      <c r="M213">
        <v>56390.37</v>
      </c>
      <c r="N213">
        <v>3902</v>
      </c>
    </row>
    <row r="214" spans="1:14" x14ac:dyDescent="0.3">
      <c r="A214" t="s">
        <v>38</v>
      </c>
      <c r="B214" t="s">
        <v>42</v>
      </c>
      <c r="C214">
        <v>2020</v>
      </c>
      <c r="D214">
        <v>176155</v>
      </c>
      <c r="E214" t="s">
        <v>16</v>
      </c>
      <c r="F214">
        <v>3224.67</v>
      </c>
      <c r="G214">
        <v>340</v>
      </c>
      <c r="H214">
        <v>170.84</v>
      </c>
      <c r="I214">
        <v>568041.74</v>
      </c>
      <c r="J214">
        <v>10755</v>
      </c>
      <c r="K214">
        <v>4617</v>
      </c>
      <c r="L214">
        <v>664553</v>
      </c>
      <c r="M214">
        <v>39333.97</v>
      </c>
      <c r="N214">
        <v>2295</v>
      </c>
    </row>
    <row r="215" spans="1:14" x14ac:dyDescent="0.3">
      <c r="A215" t="s">
        <v>63</v>
      </c>
      <c r="B215" t="s">
        <v>64</v>
      </c>
      <c r="C215">
        <v>2023</v>
      </c>
      <c r="D215">
        <v>111842</v>
      </c>
      <c r="E215" t="s">
        <v>25</v>
      </c>
      <c r="F215">
        <v>3418.27</v>
      </c>
      <c r="G215">
        <v>339</v>
      </c>
      <c r="H215">
        <v>366.71</v>
      </c>
      <c r="I215">
        <v>382306.15</v>
      </c>
      <c r="J215">
        <v>39510</v>
      </c>
      <c r="K215">
        <v>4668</v>
      </c>
      <c r="L215">
        <v>423216</v>
      </c>
      <c r="M215">
        <v>74889.66</v>
      </c>
      <c r="N215">
        <v>7719</v>
      </c>
    </row>
    <row r="216" spans="1:14" x14ac:dyDescent="0.3">
      <c r="A216" t="s">
        <v>53</v>
      </c>
      <c r="B216" t="s">
        <v>85</v>
      </c>
      <c r="C216">
        <v>2023</v>
      </c>
      <c r="D216">
        <v>124816</v>
      </c>
      <c r="E216" t="s">
        <v>25</v>
      </c>
      <c r="F216">
        <v>2520.88</v>
      </c>
      <c r="G216">
        <v>364</v>
      </c>
      <c r="H216">
        <v>381.44</v>
      </c>
      <c r="I216">
        <v>314646.15999999997</v>
      </c>
      <c r="J216">
        <v>39039</v>
      </c>
      <c r="K216">
        <v>1109</v>
      </c>
      <c r="L216">
        <v>134381</v>
      </c>
      <c r="M216">
        <v>47838.15</v>
      </c>
      <c r="N216">
        <v>7431</v>
      </c>
    </row>
    <row r="217" spans="1:14" x14ac:dyDescent="0.3">
      <c r="A217" t="s">
        <v>53</v>
      </c>
      <c r="B217" t="s">
        <v>81</v>
      </c>
      <c r="C217">
        <v>2021</v>
      </c>
      <c r="D217">
        <v>115618</v>
      </c>
      <c r="E217" t="s">
        <v>25</v>
      </c>
      <c r="F217">
        <v>2295.66</v>
      </c>
      <c r="G217">
        <v>155</v>
      </c>
      <c r="H217">
        <v>382.73</v>
      </c>
      <c r="I217">
        <v>265419.62</v>
      </c>
      <c r="J217">
        <v>35981</v>
      </c>
      <c r="K217">
        <v>3204</v>
      </c>
      <c r="L217">
        <v>132289</v>
      </c>
      <c r="M217">
        <v>34972</v>
      </c>
      <c r="N217">
        <v>3776</v>
      </c>
    </row>
    <row r="218" spans="1:14" x14ac:dyDescent="0.3">
      <c r="A218" t="s">
        <v>32</v>
      </c>
      <c r="B218" t="s">
        <v>33</v>
      </c>
      <c r="C218">
        <v>2022</v>
      </c>
      <c r="D218">
        <v>183498</v>
      </c>
      <c r="E218" t="s">
        <v>25</v>
      </c>
      <c r="F218">
        <v>540.74</v>
      </c>
      <c r="G218">
        <v>322</v>
      </c>
      <c r="H218">
        <v>296.08999999999997</v>
      </c>
      <c r="I218">
        <v>99224.71</v>
      </c>
      <c r="J218">
        <v>30640</v>
      </c>
      <c r="K218">
        <v>2759</v>
      </c>
      <c r="L218">
        <v>768316</v>
      </c>
      <c r="M218">
        <v>9904.3700000000008</v>
      </c>
      <c r="N218">
        <v>5794</v>
      </c>
    </row>
    <row r="219" spans="1:14" x14ac:dyDescent="0.3">
      <c r="A219" t="s">
        <v>53</v>
      </c>
      <c r="B219" t="s">
        <v>81</v>
      </c>
      <c r="C219">
        <v>2024</v>
      </c>
      <c r="D219">
        <v>110128</v>
      </c>
      <c r="E219" t="s">
        <v>37</v>
      </c>
      <c r="F219">
        <v>1718.63</v>
      </c>
      <c r="G219">
        <v>345</v>
      </c>
      <c r="H219">
        <v>209.69</v>
      </c>
      <c r="I219">
        <v>189269.28</v>
      </c>
      <c r="J219">
        <v>32586</v>
      </c>
      <c r="K219">
        <v>1684</v>
      </c>
      <c r="L219">
        <v>136346</v>
      </c>
      <c r="M219">
        <v>27074.99</v>
      </c>
      <c r="N219">
        <v>5383</v>
      </c>
    </row>
    <row r="220" spans="1:14" x14ac:dyDescent="0.3">
      <c r="A220" t="s">
        <v>43</v>
      </c>
      <c r="B220" t="s">
        <v>44</v>
      </c>
      <c r="C220">
        <v>2020</v>
      </c>
      <c r="D220">
        <v>188682</v>
      </c>
      <c r="E220" t="s">
        <v>16</v>
      </c>
      <c r="F220">
        <v>4040.46</v>
      </c>
      <c r="G220">
        <v>407</v>
      </c>
      <c r="H220">
        <v>384.3</v>
      </c>
      <c r="I220">
        <v>762362.07</v>
      </c>
      <c r="J220">
        <v>15103</v>
      </c>
      <c r="K220">
        <v>1190</v>
      </c>
      <c r="L220">
        <v>132409</v>
      </c>
      <c r="M220">
        <v>77421.19</v>
      </c>
      <c r="N220">
        <v>3012</v>
      </c>
    </row>
    <row r="221" spans="1:14" x14ac:dyDescent="0.3">
      <c r="A221" t="s">
        <v>40</v>
      </c>
      <c r="B221" t="s">
        <v>72</v>
      </c>
      <c r="C221">
        <v>2022</v>
      </c>
      <c r="D221">
        <v>141829</v>
      </c>
      <c r="E221" t="s">
        <v>25</v>
      </c>
      <c r="F221">
        <v>657.54</v>
      </c>
      <c r="G221">
        <v>307</v>
      </c>
      <c r="H221">
        <v>333.61</v>
      </c>
      <c r="I221">
        <v>93258.240000000005</v>
      </c>
      <c r="J221">
        <v>9458</v>
      </c>
      <c r="K221">
        <v>1241</v>
      </c>
      <c r="L221">
        <v>527177</v>
      </c>
      <c r="M221">
        <v>17136.8</v>
      </c>
      <c r="N221">
        <v>162</v>
      </c>
    </row>
    <row r="222" spans="1:14" x14ac:dyDescent="0.3">
      <c r="A222" t="s">
        <v>43</v>
      </c>
      <c r="B222" t="s">
        <v>58</v>
      </c>
      <c r="C222">
        <v>2024</v>
      </c>
      <c r="D222">
        <v>156133</v>
      </c>
      <c r="E222" t="s">
        <v>47</v>
      </c>
      <c r="F222">
        <v>3194.8</v>
      </c>
      <c r="G222">
        <v>263</v>
      </c>
      <c r="H222">
        <v>276.18</v>
      </c>
      <c r="I222">
        <v>498813.71</v>
      </c>
      <c r="J222">
        <v>41412</v>
      </c>
      <c r="K222">
        <v>2635</v>
      </c>
      <c r="L222">
        <v>516755</v>
      </c>
      <c r="M222">
        <v>59987.1</v>
      </c>
      <c r="N222">
        <v>1737</v>
      </c>
    </row>
    <row r="223" spans="1:14" x14ac:dyDescent="0.3">
      <c r="A223" t="s">
        <v>26</v>
      </c>
      <c r="B223" t="s">
        <v>78</v>
      </c>
      <c r="C223">
        <v>2021</v>
      </c>
      <c r="D223">
        <v>81781</v>
      </c>
      <c r="E223" t="s">
        <v>47</v>
      </c>
      <c r="F223">
        <v>2823.91</v>
      </c>
      <c r="G223">
        <v>397</v>
      </c>
      <c r="H223">
        <v>348.9</v>
      </c>
      <c r="I223">
        <v>230942.18</v>
      </c>
      <c r="J223">
        <v>36174</v>
      </c>
      <c r="K223">
        <v>1302</v>
      </c>
      <c r="L223">
        <v>825107</v>
      </c>
      <c r="M223">
        <v>29433.98</v>
      </c>
      <c r="N223">
        <v>8568</v>
      </c>
    </row>
    <row r="224" spans="1:14" x14ac:dyDescent="0.3">
      <c r="A224" t="s">
        <v>40</v>
      </c>
      <c r="B224" t="s">
        <v>72</v>
      </c>
      <c r="C224">
        <v>2020</v>
      </c>
      <c r="D224">
        <v>176270</v>
      </c>
      <c r="E224" t="s">
        <v>16</v>
      </c>
      <c r="F224">
        <v>4426.8599999999997</v>
      </c>
      <c r="G224">
        <v>351</v>
      </c>
      <c r="H224">
        <v>461.2</v>
      </c>
      <c r="I224">
        <v>780322.61</v>
      </c>
      <c r="J224">
        <v>49895</v>
      </c>
      <c r="K224">
        <v>1700</v>
      </c>
      <c r="L224">
        <v>131257</v>
      </c>
      <c r="M224">
        <v>84232.62</v>
      </c>
      <c r="N224">
        <v>2694</v>
      </c>
    </row>
    <row r="225" spans="1:14" x14ac:dyDescent="0.3">
      <c r="A225" t="s">
        <v>23</v>
      </c>
      <c r="B225" t="s">
        <v>24</v>
      </c>
      <c r="C225">
        <v>2022</v>
      </c>
      <c r="D225">
        <v>106358</v>
      </c>
      <c r="E225" t="s">
        <v>37</v>
      </c>
      <c r="F225">
        <v>4364.68</v>
      </c>
      <c r="G225">
        <v>125</v>
      </c>
      <c r="H225">
        <v>436.44</v>
      </c>
      <c r="I225">
        <v>464218.64</v>
      </c>
      <c r="J225">
        <v>21322</v>
      </c>
      <c r="K225">
        <v>3442</v>
      </c>
      <c r="L225">
        <v>888357</v>
      </c>
      <c r="M225">
        <v>76501.98</v>
      </c>
      <c r="N225">
        <v>1747</v>
      </c>
    </row>
    <row r="226" spans="1:14" x14ac:dyDescent="0.3">
      <c r="A226" t="s">
        <v>63</v>
      </c>
      <c r="B226" t="s">
        <v>64</v>
      </c>
      <c r="C226">
        <v>2020</v>
      </c>
      <c r="D226">
        <v>55520</v>
      </c>
      <c r="E226" t="s">
        <v>25</v>
      </c>
      <c r="F226">
        <v>4383.38</v>
      </c>
      <c r="G226">
        <v>157</v>
      </c>
      <c r="H226">
        <v>281.72000000000003</v>
      </c>
      <c r="I226">
        <v>243365.26</v>
      </c>
      <c r="J226">
        <v>9757</v>
      </c>
      <c r="K226">
        <v>1220</v>
      </c>
      <c r="L226">
        <v>644557</v>
      </c>
      <c r="M226">
        <v>66369.09</v>
      </c>
      <c r="N226">
        <v>7278</v>
      </c>
    </row>
    <row r="227" spans="1:14" x14ac:dyDescent="0.3">
      <c r="A227" t="s">
        <v>30</v>
      </c>
      <c r="B227" t="s">
        <v>31</v>
      </c>
      <c r="C227">
        <v>2020</v>
      </c>
      <c r="D227">
        <v>119166</v>
      </c>
      <c r="E227" t="s">
        <v>19</v>
      </c>
      <c r="F227">
        <v>1553.92</v>
      </c>
      <c r="G227">
        <v>461</v>
      </c>
      <c r="H227">
        <v>307.36</v>
      </c>
      <c r="I227">
        <v>185174.43</v>
      </c>
      <c r="J227">
        <v>48370</v>
      </c>
      <c r="K227">
        <v>3860</v>
      </c>
      <c r="L227">
        <v>610608</v>
      </c>
      <c r="M227">
        <v>41498.97</v>
      </c>
      <c r="N227">
        <v>5718</v>
      </c>
    </row>
    <row r="228" spans="1:14" x14ac:dyDescent="0.3">
      <c r="A228" t="s">
        <v>30</v>
      </c>
      <c r="B228" t="s">
        <v>31</v>
      </c>
      <c r="C228">
        <v>2024</v>
      </c>
      <c r="D228">
        <v>182992</v>
      </c>
      <c r="E228" t="s">
        <v>25</v>
      </c>
      <c r="F228">
        <v>2896.27</v>
      </c>
      <c r="G228">
        <v>482</v>
      </c>
      <c r="H228">
        <v>273.07</v>
      </c>
      <c r="I228">
        <v>529994.23999999999</v>
      </c>
      <c r="J228">
        <v>32964</v>
      </c>
      <c r="K228">
        <v>3187</v>
      </c>
      <c r="L228">
        <v>956071</v>
      </c>
      <c r="M228">
        <v>53827.82</v>
      </c>
      <c r="N228">
        <v>916</v>
      </c>
    </row>
    <row r="229" spans="1:14" x14ac:dyDescent="0.3">
      <c r="A229" t="s">
        <v>45</v>
      </c>
      <c r="B229" t="s">
        <v>46</v>
      </c>
      <c r="C229">
        <v>2024</v>
      </c>
      <c r="D229">
        <v>161718</v>
      </c>
      <c r="E229" t="s">
        <v>19</v>
      </c>
      <c r="F229">
        <v>581.55999999999995</v>
      </c>
      <c r="G229">
        <v>74</v>
      </c>
      <c r="H229">
        <v>352.96</v>
      </c>
      <c r="I229">
        <v>94048.72</v>
      </c>
      <c r="J229">
        <v>37130</v>
      </c>
      <c r="K229">
        <v>4200</v>
      </c>
      <c r="L229">
        <v>998202</v>
      </c>
      <c r="M229">
        <v>10657.42</v>
      </c>
      <c r="N229">
        <v>4004</v>
      </c>
    </row>
    <row r="230" spans="1:14" x14ac:dyDescent="0.3">
      <c r="A230" t="s">
        <v>20</v>
      </c>
      <c r="B230" t="s">
        <v>29</v>
      </c>
      <c r="C230">
        <v>2023</v>
      </c>
      <c r="D230">
        <v>171948</v>
      </c>
      <c r="E230" t="s">
        <v>22</v>
      </c>
      <c r="F230">
        <v>4294.97</v>
      </c>
      <c r="G230">
        <v>484</v>
      </c>
      <c r="H230">
        <v>178.48</v>
      </c>
      <c r="I230">
        <v>738511.5</v>
      </c>
      <c r="J230">
        <v>34894</v>
      </c>
      <c r="K230">
        <v>4934</v>
      </c>
      <c r="L230">
        <v>230882</v>
      </c>
      <c r="M230">
        <v>199870.73</v>
      </c>
      <c r="N230">
        <v>9547</v>
      </c>
    </row>
    <row r="231" spans="1:14" x14ac:dyDescent="0.3">
      <c r="A231" t="s">
        <v>34</v>
      </c>
      <c r="B231" t="s">
        <v>35</v>
      </c>
      <c r="C231">
        <v>2020</v>
      </c>
      <c r="D231">
        <v>73185</v>
      </c>
      <c r="E231" t="s">
        <v>22</v>
      </c>
      <c r="F231">
        <v>1415.63</v>
      </c>
      <c r="G231">
        <v>71</v>
      </c>
      <c r="H231">
        <v>265.67</v>
      </c>
      <c r="I231">
        <v>103602.88</v>
      </c>
      <c r="J231">
        <v>32374</v>
      </c>
      <c r="K231">
        <v>2839</v>
      </c>
      <c r="L231">
        <v>168094</v>
      </c>
      <c r="M231">
        <v>21972.05</v>
      </c>
      <c r="N231">
        <v>2482</v>
      </c>
    </row>
    <row r="232" spans="1:14" x14ac:dyDescent="0.3">
      <c r="A232" t="s">
        <v>59</v>
      </c>
      <c r="B232" t="s">
        <v>60</v>
      </c>
      <c r="C232">
        <v>2023</v>
      </c>
      <c r="D232">
        <v>129698</v>
      </c>
      <c r="E232" t="s">
        <v>19</v>
      </c>
      <c r="F232">
        <v>3781.56</v>
      </c>
      <c r="G232">
        <v>488</v>
      </c>
      <c r="H232">
        <v>216.31</v>
      </c>
      <c r="I232">
        <v>490460.77</v>
      </c>
      <c r="J232">
        <v>27010</v>
      </c>
      <c r="K232">
        <v>3390</v>
      </c>
      <c r="L232">
        <v>442670</v>
      </c>
      <c r="M232">
        <v>25548.55</v>
      </c>
      <c r="N232">
        <v>770</v>
      </c>
    </row>
    <row r="233" spans="1:14" x14ac:dyDescent="0.3">
      <c r="A233" t="s">
        <v>53</v>
      </c>
      <c r="B233" t="s">
        <v>81</v>
      </c>
      <c r="C233">
        <v>2021</v>
      </c>
      <c r="D233">
        <v>198961</v>
      </c>
      <c r="E233" t="s">
        <v>25</v>
      </c>
      <c r="F233">
        <v>2967.89</v>
      </c>
      <c r="G233">
        <v>185</v>
      </c>
      <c r="H233">
        <v>241.73</v>
      </c>
      <c r="I233">
        <v>590494.36</v>
      </c>
      <c r="J233">
        <v>39660</v>
      </c>
      <c r="K233">
        <v>2353</v>
      </c>
      <c r="L233">
        <v>151158</v>
      </c>
      <c r="M233">
        <v>141497.49</v>
      </c>
      <c r="N233">
        <v>2718</v>
      </c>
    </row>
    <row r="234" spans="1:14" x14ac:dyDescent="0.3">
      <c r="A234" t="s">
        <v>69</v>
      </c>
      <c r="B234" t="s">
        <v>91</v>
      </c>
      <c r="C234">
        <v>2024</v>
      </c>
      <c r="D234">
        <v>136598</v>
      </c>
      <c r="E234" t="s">
        <v>25</v>
      </c>
      <c r="F234">
        <v>2061.33</v>
      </c>
      <c r="G234">
        <v>491</v>
      </c>
      <c r="H234">
        <v>458.7</v>
      </c>
      <c r="I234">
        <v>281573.56</v>
      </c>
      <c r="J234">
        <v>15966</v>
      </c>
      <c r="K234">
        <v>2312</v>
      </c>
      <c r="L234">
        <v>393615</v>
      </c>
      <c r="M234">
        <v>74095.02</v>
      </c>
      <c r="N234">
        <v>3616</v>
      </c>
    </row>
    <row r="235" spans="1:14" x14ac:dyDescent="0.3">
      <c r="A235" t="s">
        <v>38</v>
      </c>
      <c r="B235" t="s">
        <v>39</v>
      </c>
      <c r="C235">
        <v>2023</v>
      </c>
      <c r="D235">
        <v>168028</v>
      </c>
      <c r="E235" t="s">
        <v>19</v>
      </c>
      <c r="F235">
        <v>2237.9499999999998</v>
      </c>
      <c r="G235">
        <v>362</v>
      </c>
      <c r="H235">
        <v>158.68</v>
      </c>
      <c r="I235">
        <v>376038.26</v>
      </c>
      <c r="J235">
        <v>38722</v>
      </c>
      <c r="K235">
        <v>3281</v>
      </c>
      <c r="L235">
        <v>581147</v>
      </c>
      <c r="M235">
        <v>88909.86</v>
      </c>
      <c r="N235">
        <v>470</v>
      </c>
    </row>
    <row r="236" spans="1:14" x14ac:dyDescent="0.3">
      <c r="A236" t="s">
        <v>23</v>
      </c>
      <c r="B236" t="s">
        <v>24</v>
      </c>
      <c r="C236">
        <v>2023</v>
      </c>
      <c r="D236">
        <v>185958</v>
      </c>
      <c r="E236" t="s">
        <v>25</v>
      </c>
      <c r="F236">
        <v>4083.09</v>
      </c>
      <c r="G236">
        <v>343</v>
      </c>
      <c r="H236">
        <v>289.95999999999998</v>
      </c>
      <c r="I236">
        <v>759283.25</v>
      </c>
      <c r="J236">
        <v>17226</v>
      </c>
      <c r="K236">
        <v>4751</v>
      </c>
      <c r="L236">
        <v>311497</v>
      </c>
      <c r="M236">
        <v>162241.57</v>
      </c>
      <c r="N236">
        <v>1330</v>
      </c>
    </row>
    <row r="237" spans="1:14" x14ac:dyDescent="0.3">
      <c r="A237" t="s">
        <v>69</v>
      </c>
      <c r="B237" t="s">
        <v>70</v>
      </c>
      <c r="C237">
        <v>2024</v>
      </c>
      <c r="D237">
        <v>93395</v>
      </c>
      <c r="E237" t="s">
        <v>19</v>
      </c>
      <c r="F237">
        <v>4924.88</v>
      </c>
      <c r="G237">
        <v>406</v>
      </c>
      <c r="H237">
        <v>386.53</v>
      </c>
      <c r="I237">
        <v>459959.17</v>
      </c>
      <c r="J237">
        <v>21544</v>
      </c>
      <c r="K237">
        <v>1268</v>
      </c>
      <c r="L237">
        <v>578036</v>
      </c>
      <c r="M237">
        <v>26870.400000000001</v>
      </c>
      <c r="N237">
        <v>3291</v>
      </c>
    </row>
    <row r="238" spans="1:14" x14ac:dyDescent="0.3">
      <c r="A238" t="s">
        <v>56</v>
      </c>
      <c r="B238" t="s">
        <v>71</v>
      </c>
      <c r="C238">
        <v>2024</v>
      </c>
      <c r="D238">
        <v>166525</v>
      </c>
      <c r="E238" t="s">
        <v>37</v>
      </c>
      <c r="F238">
        <v>1953.62</v>
      </c>
      <c r="G238">
        <v>236</v>
      </c>
      <c r="H238">
        <v>281.39</v>
      </c>
      <c r="I238">
        <v>325326.57</v>
      </c>
      <c r="J238">
        <v>37510</v>
      </c>
      <c r="K238">
        <v>4699</v>
      </c>
      <c r="L238">
        <v>152476</v>
      </c>
      <c r="M238">
        <v>84981.1</v>
      </c>
      <c r="N238">
        <v>2835</v>
      </c>
    </row>
    <row r="239" spans="1:14" x14ac:dyDescent="0.3">
      <c r="A239" t="s">
        <v>45</v>
      </c>
      <c r="B239" t="s">
        <v>46</v>
      </c>
      <c r="C239">
        <v>2021</v>
      </c>
      <c r="D239">
        <v>125403</v>
      </c>
      <c r="E239" t="s">
        <v>16</v>
      </c>
      <c r="F239">
        <v>3866.83</v>
      </c>
      <c r="G239">
        <v>414</v>
      </c>
      <c r="H239">
        <v>259.62</v>
      </c>
      <c r="I239">
        <v>484912.08</v>
      </c>
      <c r="J239">
        <v>33302</v>
      </c>
      <c r="K239">
        <v>3328</v>
      </c>
      <c r="L239">
        <v>899776</v>
      </c>
      <c r="M239">
        <v>132345.95000000001</v>
      </c>
      <c r="N239">
        <v>6744</v>
      </c>
    </row>
    <row r="240" spans="1:14" x14ac:dyDescent="0.3">
      <c r="A240" t="s">
        <v>43</v>
      </c>
      <c r="B240" t="s">
        <v>44</v>
      </c>
      <c r="C240">
        <v>2021</v>
      </c>
      <c r="D240">
        <v>151154</v>
      </c>
      <c r="E240" t="s">
        <v>37</v>
      </c>
      <c r="F240">
        <v>577.16999999999996</v>
      </c>
      <c r="G240">
        <v>482</v>
      </c>
      <c r="H240">
        <v>393.04</v>
      </c>
      <c r="I240">
        <v>87241.55</v>
      </c>
      <c r="J240">
        <v>35926</v>
      </c>
      <c r="K240">
        <v>3926</v>
      </c>
      <c r="L240">
        <v>828754</v>
      </c>
      <c r="M240">
        <v>23215.7</v>
      </c>
      <c r="N240">
        <v>4578</v>
      </c>
    </row>
    <row r="241" spans="1:14" x14ac:dyDescent="0.3">
      <c r="A241" t="s">
        <v>53</v>
      </c>
      <c r="B241" t="s">
        <v>85</v>
      </c>
      <c r="C241">
        <v>2023</v>
      </c>
      <c r="D241">
        <v>189282</v>
      </c>
      <c r="E241" t="s">
        <v>22</v>
      </c>
      <c r="F241">
        <v>3683.29</v>
      </c>
      <c r="G241">
        <v>325</v>
      </c>
      <c r="H241">
        <v>306.27</v>
      </c>
      <c r="I241">
        <v>697180.5</v>
      </c>
      <c r="J241">
        <v>16094</v>
      </c>
      <c r="K241">
        <v>3087</v>
      </c>
      <c r="L241">
        <v>434708</v>
      </c>
      <c r="M241">
        <v>116653.15</v>
      </c>
      <c r="N241">
        <v>2317</v>
      </c>
    </row>
    <row r="242" spans="1:14" x14ac:dyDescent="0.3">
      <c r="A242" t="s">
        <v>50</v>
      </c>
      <c r="B242" t="s">
        <v>77</v>
      </c>
      <c r="C242">
        <v>2024</v>
      </c>
      <c r="D242">
        <v>102691</v>
      </c>
      <c r="E242" t="s">
        <v>37</v>
      </c>
      <c r="F242">
        <v>2768.02</v>
      </c>
      <c r="G242">
        <v>238</v>
      </c>
      <c r="H242">
        <v>353.65</v>
      </c>
      <c r="I242">
        <v>284250.74</v>
      </c>
      <c r="J242">
        <v>44605</v>
      </c>
      <c r="K242">
        <v>1598</v>
      </c>
      <c r="L242">
        <v>568420</v>
      </c>
      <c r="M242">
        <v>18077.689999999999</v>
      </c>
      <c r="N242">
        <v>1017</v>
      </c>
    </row>
    <row r="243" spans="1:14" x14ac:dyDescent="0.3">
      <c r="A243" t="s">
        <v>53</v>
      </c>
      <c r="B243" t="s">
        <v>85</v>
      </c>
      <c r="C243">
        <v>2023</v>
      </c>
      <c r="D243">
        <v>125602</v>
      </c>
      <c r="E243" t="s">
        <v>25</v>
      </c>
      <c r="F243">
        <v>4146.16</v>
      </c>
      <c r="G243">
        <v>153</v>
      </c>
      <c r="H243">
        <v>367.31</v>
      </c>
      <c r="I243">
        <v>520765.99</v>
      </c>
      <c r="J243">
        <v>14941</v>
      </c>
      <c r="K243">
        <v>4688</v>
      </c>
      <c r="L243">
        <v>109821</v>
      </c>
      <c r="M243">
        <v>28530.799999999999</v>
      </c>
      <c r="N243">
        <v>4975</v>
      </c>
    </row>
    <row r="244" spans="1:14" x14ac:dyDescent="0.3">
      <c r="A244" t="s">
        <v>40</v>
      </c>
      <c r="B244" t="s">
        <v>72</v>
      </c>
      <c r="C244">
        <v>2020</v>
      </c>
      <c r="D244">
        <v>116677</v>
      </c>
      <c r="E244" t="s">
        <v>49</v>
      </c>
      <c r="F244">
        <v>4595.96</v>
      </c>
      <c r="G244">
        <v>139</v>
      </c>
      <c r="H244">
        <v>230.85</v>
      </c>
      <c r="I244">
        <v>536242.81999999995</v>
      </c>
      <c r="J244">
        <v>24404</v>
      </c>
      <c r="K244">
        <v>1444</v>
      </c>
      <c r="L244">
        <v>724533</v>
      </c>
      <c r="M244">
        <v>37343.660000000003</v>
      </c>
      <c r="N244">
        <v>7275</v>
      </c>
    </row>
    <row r="245" spans="1:14" x14ac:dyDescent="0.3">
      <c r="A245" t="s">
        <v>61</v>
      </c>
      <c r="B245" t="s">
        <v>68</v>
      </c>
      <c r="C245">
        <v>2023</v>
      </c>
      <c r="D245">
        <v>139049</v>
      </c>
      <c r="E245" t="s">
        <v>16</v>
      </c>
      <c r="F245">
        <v>3230.81</v>
      </c>
      <c r="G245">
        <v>193</v>
      </c>
      <c r="H245">
        <v>360.81</v>
      </c>
      <c r="I245">
        <v>449240.9</v>
      </c>
      <c r="J245">
        <v>27250</v>
      </c>
      <c r="K245">
        <v>1454</v>
      </c>
      <c r="L245">
        <v>510014</v>
      </c>
      <c r="M245">
        <v>64627.92</v>
      </c>
      <c r="N245">
        <v>2359</v>
      </c>
    </row>
    <row r="246" spans="1:14" x14ac:dyDescent="0.3">
      <c r="A246" t="s">
        <v>32</v>
      </c>
      <c r="B246" t="s">
        <v>33</v>
      </c>
      <c r="C246">
        <v>2023</v>
      </c>
      <c r="D246">
        <v>165945</v>
      </c>
      <c r="E246" t="s">
        <v>47</v>
      </c>
      <c r="F246">
        <v>3213.68</v>
      </c>
      <c r="G246">
        <v>256</v>
      </c>
      <c r="H246">
        <v>431.32</v>
      </c>
      <c r="I246">
        <v>533294.13</v>
      </c>
      <c r="J246">
        <v>8805</v>
      </c>
      <c r="K246">
        <v>4356</v>
      </c>
      <c r="L246">
        <v>85903</v>
      </c>
      <c r="M246">
        <v>67468.570000000007</v>
      </c>
      <c r="N246">
        <v>2717</v>
      </c>
    </row>
    <row r="247" spans="1:14" x14ac:dyDescent="0.3">
      <c r="A247" t="s">
        <v>34</v>
      </c>
      <c r="B247" t="s">
        <v>94</v>
      </c>
      <c r="C247">
        <v>2024</v>
      </c>
      <c r="D247">
        <v>82101</v>
      </c>
      <c r="E247" t="s">
        <v>16</v>
      </c>
      <c r="F247">
        <v>836.7</v>
      </c>
      <c r="G247">
        <v>133</v>
      </c>
      <c r="H247">
        <v>487.88</v>
      </c>
      <c r="I247">
        <v>68693.91</v>
      </c>
      <c r="J247">
        <v>31616</v>
      </c>
      <c r="K247">
        <v>4831</v>
      </c>
      <c r="L247">
        <v>256903</v>
      </c>
      <c r="M247">
        <v>6994.29</v>
      </c>
      <c r="N247">
        <v>749</v>
      </c>
    </row>
    <row r="248" spans="1:14" x14ac:dyDescent="0.3">
      <c r="A248" t="s">
        <v>50</v>
      </c>
      <c r="B248" t="s">
        <v>86</v>
      </c>
      <c r="C248">
        <v>2024</v>
      </c>
      <c r="D248">
        <v>196480</v>
      </c>
      <c r="E248" t="s">
        <v>37</v>
      </c>
      <c r="F248">
        <v>1861.16</v>
      </c>
      <c r="G248">
        <v>331</v>
      </c>
      <c r="H248">
        <v>414.06</v>
      </c>
      <c r="I248">
        <v>365680.72</v>
      </c>
      <c r="J248">
        <v>49254</v>
      </c>
      <c r="K248">
        <v>4761</v>
      </c>
      <c r="L248">
        <v>724174</v>
      </c>
      <c r="M248">
        <v>43092.36</v>
      </c>
      <c r="N248">
        <v>3473</v>
      </c>
    </row>
    <row r="249" spans="1:14" x14ac:dyDescent="0.3">
      <c r="A249" t="s">
        <v>17</v>
      </c>
      <c r="B249" t="s">
        <v>82</v>
      </c>
      <c r="C249">
        <v>2022</v>
      </c>
      <c r="D249">
        <v>191407</v>
      </c>
      <c r="E249" t="s">
        <v>37</v>
      </c>
      <c r="F249">
        <v>2653.23</v>
      </c>
      <c r="G249">
        <v>177</v>
      </c>
      <c r="H249">
        <v>114.84</v>
      </c>
      <c r="I249">
        <v>507846.79</v>
      </c>
      <c r="J249">
        <v>28906</v>
      </c>
      <c r="K249">
        <v>3716</v>
      </c>
      <c r="L249">
        <v>462736</v>
      </c>
      <c r="M249">
        <v>64301.46</v>
      </c>
      <c r="N249">
        <v>876</v>
      </c>
    </row>
    <row r="250" spans="1:14" x14ac:dyDescent="0.3">
      <c r="A250" t="s">
        <v>26</v>
      </c>
      <c r="B250" t="s">
        <v>78</v>
      </c>
      <c r="C250">
        <v>2021</v>
      </c>
      <c r="D250">
        <v>180956</v>
      </c>
      <c r="E250" t="s">
        <v>47</v>
      </c>
      <c r="F250">
        <v>2962.57</v>
      </c>
      <c r="G250">
        <v>450</v>
      </c>
      <c r="H250">
        <v>437.99</v>
      </c>
      <c r="I250">
        <v>536094.81999999995</v>
      </c>
      <c r="J250">
        <v>14486</v>
      </c>
      <c r="K250">
        <v>2026</v>
      </c>
      <c r="L250">
        <v>136694</v>
      </c>
      <c r="M250">
        <v>129354.36</v>
      </c>
      <c r="N250">
        <v>944</v>
      </c>
    </row>
    <row r="251" spans="1:14" x14ac:dyDescent="0.3">
      <c r="A251" t="s">
        <v>69</v>
      </c>
      <c r="B251" t="s">
        <v>70</v>
      </c>
      <c r="C251">
        <v>2020</v>
      </c>
      <c r="D251">
        <v>64031</v>
      </c>
      <c r="E251" t="s">
        <v>49</v>
      </c>
      <c r="F251">
        <v>3018.1</v>
      </c>
      <c r="G251">
        <v>493</v>
      </c>
      <c r="H251">
        <v>212.63</v>
      </c>
      <c r="I251">
        <v>193251.96</v>
      </c>
      <c r="J251">
        <v>37994</v>
      </c>
      <c r="K251">
        <v>3459</v>
      </c>
      <c r="L251">
        <v>514310</v>
      </c>
      <c r="M251">
        <v>29767.82</v>
      </c>
      <c r="N251">
        <v>2132</v>
      </c>
    </row>
    <row r="252" spans="1:14" x14ac:dyDescent="0.3">
      <c r="A252" t="s">
        <v>17</v>
      </c>
      <c r="B252" t="s">
        <v>18</v>
      </c>
      <c r="C252">
        <v>2020</v>
      </c>
      <c r="D252">
        <v>116788</v>
      </c>
      <c r="E252" t="s">
        <v>16</v>
      </c>
      <c r="F252">
        <v>3813.08</v>
      </c>
      <c r="G252">
        <v>319</v>
      </c>
      <c r="H252">
        <v>340.14</v>
      </c>
      <c r="I252">
        <v>445321.99</v>
      </c>
      <c r="J252">
        <v>27523</v>
      </c>
      <c r="K252">
        <v>3392</v>
      </c>
      <c r="L252">
        <v>248303</v>
      </c>
      <c r="M252">
        <v>36923.160000000003</v>
      </c>
      <c r="N252">
        <v>1766</v>
      </c>
    </row>
    <row r="253" spans="1:14" x14ac:dyDescent="0.3">
      <c r="A253" t="s">
        <v>61</v>
      </c>
      <c r="B253" t="s">
        <v>62</v>
      </c>
      <c r="C253">
        <v>2024</v>
      </c>
      <c r="D253">
        <v>56901</v>
      </c>
      <c r="E253" t="s">
        <v>16</v>
      </c>
      <c r="F253">
        <v>1785.68</v>
      </c>
      <c r="G253">
        <v>249</v>
      </c>
      <c r="H253">
        <v>301.44</v>
      </c>
      <c r="I253">
        <v>101606.98</v>
      </c>
      <c r="J253">
        <v>30805</v>
      </c>
      <c r="K253">
        <v>3453</v>
      </c>
      <c r="L253">
        <v>922834</v>
      </c>
      <c r="M253">
        <v>13652.94</v>
      </c>
      <c r="N253">
        <v>407</v>
      </c>
    </row>
    <row r="254" spans="1:14" x14ac:dyDescent="0.3">
      <c r="A254" t="s">
        <v>20</v>
      </c>
      <c r="B254" t="s">
        <v>29</v>
      </c>
      <c r="C254">
        <v>2021</v>
      </c>
      <c r="D254">
        <v>178126</v>
      </c>
      <c r="E254" t="s">
        <v>37</v>
      </c>
      <c r="F254">
        <v>1481.93</v>
      </c>
      <c r="G254">
        <v>432</v>
      </c>
      <c r="H254">
        <v>168.46</v>
      </c>
      <c r="I254">
        <v>263970.26</v>
      </c>
      <c r="J254">
        <v>20916</v>
      </c>
      <c r="K254">
        <v>775</v>
      </c>
      <c r="L254">
        <v>331075</v>
      </c>
      <c r="M254">
        <v>23232.59</v>
      </c>
      <c r="N254">
        <v>3229</v>
      </c>
    </row>
    <row r="255" spans="1:14" x14ac:dyDescent="0.3">
      <c r="A255" t="s">
        <v>40</v>
      </c>
      <c r="B255" t="s">
        <v>41</v>
      </c>
      <c r="C255">
        <v>2024</v>
      </c>
      <c r="D255">
        <v>153751</v>
      </c>
      <c r="E255" t="s">
        <v>49</v>
      </c>
      <c r="F255">
        <v>680.27</v>
      </c>
      <c r="G255">
        <v>313</v>
      </c>
      <c r="H255">
        <v>466.04</v>
      </c>
      <c r="I255">
        <v>104592.19</v>
      </c>
      <c r="J255">
        <v>6134</v>
      </c>
      <c r="K255">
        <v>2020</v>
      </c>
      <c r="L255">
        <v>287723</v>
      </c>
      <c r="M255">
        <v>9269.2800000000007</v>
      </c>
      <c r="N255">
        <v>970</v>
      </c>
    </row>
    <row r="256" spans="1:14" x14ac:dyDescent="0.3">
      <c r="A256" t="s">
        <v>63</v>
      </c>
      <c r="B256" t="s">
        <v>87</v>
      </c>
      <c r="C256">
        <v>2024</v>
      </c>
      <c r="D256">
        <v>99649</v>
      </c>
      <c r="E256" t="s">
        <v>37</v>
      </c>
      <c r="F256">
        <v>4223.99</v>
      </c>
      <c r="G256">
        <v>143</v>
      </c>
      <c r="H256">
        <v>142</v>
      </c>
      <c r="I256">
        <v>420916.38</v>
      </c>
      <c r="J256">
        <v>18878</v>
      </c>
      <c r="K256">
        <v>642</v>
      </c>
      <c r="L256">
        <v>931864</v>
      </c>
      <c r="M256">
        <v>102446.07</v>
      </c>
      <c r="N256">
        <v>1948</v>
      </c>
    </row>
    <row r="257" spans="1:14" x14ac:dyDescent="0.3">
      <c r="A257" t="s">
        <v>34</v>
      </c>
      <c r="B257" t="s">
        <v>65</v>
      </c>
      <c r="C257">
        <v>2023</v>
      </c>
      <c r="D257">
        <v>81027</v>
      </c>
      <c r="E257" t="s">
        <v>22</v>
      </c>
      <c r="F257">
        <v>4983.79</v>
      </c>
      <c r="G257">
        <v>380</v>
      </c>
      <c r="H257">
        <v>252.07</v>
      </c>
      <c r="I257">
        <v>403821.55</v>
      </c>
      <c r="J257">
        <v>30864</v>
      </c>
      <c r="K257">
        <v>2004</v>
      </c>
      <c r="L257">
        <v>856124</v>
      </c>
      <c r="M257">
        <v>81604.210000000006</v>
      </c>
      <c r="N257">
        <v>3403</v>
      </c>
    </row>
    <row r="258" spans="1:14" x14ac:dyDescent="0.3">
      <c r="A258" t="s">
        <v>45</v>
      </c>
      <c r="B258" t="s">
        <v>46</v>
      </c>
      <c r="C258">
        <v>2020</v>
      </c>
      <c r="D258">
        <v>102265</v>
      </c>
      <c r="E258" t="s">
        <v>37</v>
      </c>
      <c r="F258">
        <v>3878.46</v>
      </c>
      <c r="G258">
        <v>322</v>
      </c>
      <c r="H258">
        <v>144.85</v>
      </c>
      <c r="I258">
        <v>396630.71</v>
      </c>
      <c r="J258">
        <v>46692</v>
      </c>
      <c r="K258">
        <v>923</v>
      </c>
      <c r="L258">
        <v>864486</v>
      </c>
      <c r="M258">
        <v>56111.92</v>
      </c>
      <c r="N258">
        <v>5931</v>
      </c>
    </row>
    <row r="259" spans="1:14" x14ac:dyDescent="0.3">
      <c r="A259" t="s">
        <v>43</v>
      </c>
      <c r="B259" t="s">
        <v>48</v>
      </c>
      <c r="C259">
        <v>2024</v>
      </c>
      <c r="D259">
        <v>158464</v>
      </c>
      <c r="E259" t="s">
        <v>47</v>
      </c>
      <c r="F259">
        <v>2052.88</v>
      </c>
      <c r="G259">
        <v>164</v>
      </c>
      <c r="H259">
        <v>182.2</v>
      </c>
      <c r="I259">
        <v>325307.58</v>
      </c>
      <c r="J259">
        <v>39642</v>
      </c>
      <c r="K259">
        <v>2542</v>
      </c>
      <c r="L259">
        <v>631904</v>
      </c>
      <c r="M259">
        <v>31905.35</v>
      </c>
      <c r="N259">
        <v>7511</v>
      </c>
    </row>
    <row r="260" spans="1:14" x14ac:dyDescent="0.3">
      <c r="A260" t="s">
        <v>23</v>
      </c>
      <c r="B260" t="s">
        <v>24</v>
      </c>
      <c r="C260">
        <v>2022</v>
      </c>
      <c r="D260">
        <v>94757</v>
      </c>
      <c r="E260" t="s">
        <v>37</v>
      </c>
      <c r="F260">
        <v>1767.27</v>
      </c>
      <c r="G260">
        <v>357</v>
      </c>
      <c r="H260">
        <v>355.15</v>
      </c>
      <c r="I260">
        <v>167461.20000000001</v>
      </c>
      <c r="J260">
        <v>34648</v>
      </c>
      <c r="K260">
        <v>3247</v>
      </c>
      <c r="L260">
        <v>559421</v>
      </c>
      <c r="M260">
        <v>20017.02</v>
      </c>
      <c r="N260">
        <v>2061</v>
      </c>
    </row>
    <row r="261" spans="1:14" x14ac:dyDescent="0.3">
      <c r="A261" t="s">
        <v>63</v>
      </c>
      <c r="B261" t="s">
        <v>87</v>
      </c>
      <c r="C261">
        <v>2023</v>
      </c>
      <c r="D261">
        <v>62497</v>
      </c>
      <c r="E261" t="s">
        <v>49</v>
      </c>
      <c r="F261">
        <v>2934.51</v>
      </c>
      <c r="G261">
        <v>257</v>
      </c>
      <c r="H261">
        <v>253.77</v>
      </c>
      <c r="I261">
        <v>183398.07</v>
      </c>
      <c r="J261">
        <v>25389</v>
      </c>
      <c r="K261">
        <v>4732</v>
      </c>
      <c r="L261">
        <v>880351</v>
      </c>
      <c r="M261">
        <v>21684.53</v>
      </c>
      <c r="N261">
        <v>5798</v>
      </c>
    </row>
    <row r="262" spans="1:14" x14ac:dyDescent="0.3">
      <c r="A262" t="s">
        <v>63</v>
      </c>
      <c r="B262" t="s">
        <v>87</v>
      </c>
      <c r="C262">
        <v>2022</v>
      </c>
      <c r="D262">
        <v>116809</v>
      </c>
      <c r="E262" t="s">
        <v>25</v>
      </c>
      <c r="F262">
        <v>770.43</v>
      </c>
      <c r="G262">
        <v>453</v>
      </c>
      <c r="H262">
        <v>389.24</v>
      </c>
      <c r="I262">
        <v>89993.16</v>
      </c>
      <c r="J262">
        <v>49041</v>
      </c>
      <c r="K262">
        <v>4747</v>
      </c>
      <c r="L262">
        <v>157524</v>
      </c>
      <c r="M262">
        <v>25682.54</v>
      </c>
      <c r="N262">
        <v>6405</v>
      </c>
    </row>
    <row r="263" spans="1:14" x14ac:dyDescent="0.3">
      <c r="A263" t="s">
        <v>14</v>
      </c>
      <c r="B263" t="s">
        <v>90</v>
      </c>
      <c r="C263">
        <v>2021</v>
      </c>
      <c r="D263">
        <v>68782</v>
      </c>
      <c r="E263" t="s">
        <v>16</v>
      </c>
      <c r="F263">
        <v>3908.59</v>
      </c>
      <c r="G263">
        <v>225</v>
      </c>
      <c r="H263">
        <v>360.98</v>
      </c>
      <c r="I263">
        <v>268840.64</v>
      </c>
      <c r="J263">
        <v>47229</v>
      </c>
      <c r="K263">
        <v>4470</v>
      </c>
      <c r="L263">
        <v>336073</v>
      </c>
      <c r="M263">
        <v>71453.509999999995</v>
      </c>
      <c r="N263">
        <v>2441</v>
      </c>
    </row>
    <row r="264" spans="1:14" x14ac:dyDescent="0.3">
      <c r="A264" t="s">
        <v>20</v>
      </c>
      <c r="B264" t="s">
        <v>29</v>
      </c>
      <c r="C264">
        <v>2022</v>
      </c>
      <c r="D264">
        <v>154188</v>
      </c>
      <c r="E264" t="s">
        <v>47</v>
      </c>
      <c r="F264">
        <v>1849.74</v>
      </c>
      <c r="G264">
        <v>351</v>
      </c>
      <c r="H264">
        <v>334.51</v>
      </c>
      <c r="I264">
        <v>285207.71000000002</v>
      </c>
      <c r="J264">
        <v>14175</v>
      </c>
      <c r="K264">
        <v>2617</v>
      </c>
      <c r="L264">
        <v>347584</v>
      </c>
      <c r="M264">
        <v>29797.7</v>
      </c>
      <c r="N264">
        <v>2873</v>
      </c>
    </row>
    <row r="265" spans="1:14" x14ac:dyDescent="0.3">
      <c r="A265" t="s">
        <v>23</v>
      </c>
      <c r="B265" t="s">
        <v>24</v>
      </c>
      <c r="C265">
        <v>2022</v>
      </c>
      <c r="D265">
        <v>95927</v>
      </c>
      <c r="E265" t="s">
        <v>16</v>
      </c>
      <c r="F265">
        <v>4542.74</v>
      </c>
      <c r="G265">
        <v>394</v>
      </c>
      <c r="H265">
        <v>474.2</v>
      </c>
      <c r="I265">
        <v>435771.42</v>
      </c>
      <c r="J265">
        <v>8783</v>
      </c>
      <c r="K265">
        <v>4787</v>
      </c>
      <c r="L265">
        <v>936788</v>
      </c>
      <c r="M265">
        <v>30031.31</v>
      </c>
      <c r="N265">
        <v>684</v>
      </c>
    </row>
    <row r="266" spans="1:14" x14ac:dyDescent="0.3">
      <c r="A266" t="s">
        <v>56</v>
      </c>
      <c r="B266" t="s">
        <v>76</v>
      </c>
      <c r="C266">
        <v>2023</v>
      </c>
      <c r="D266">
        <v>80266</v>
      </c>
      <c r="E266" t="s">
        <v>49</v>
      </c>
      <c r="F266">
        <v>3824.9</v>
      </c>
      <c r="G266">
        <v>79</v>
      </c>
      <c r="H266">
        <v>438.56</v>
      </c>
      <c r="I266">
        <v>307009.42</v>
      </c>
      <c r="J266">
        <v>44019</v>
      </c>
      <c r="K266">
        <v>2125</v>
      </c>
      <c r="L266">
        <v>847388</v>
      </c>
      <c r="M266">
        <v>38096.620000000003</v>
      </c>
      <c r="N266">
        <v>2604</v>
      </c>
    </row>
    <row r="267" spans="1:14" x14ac:dyDescent="0.3">
      <c r="A267" t="s">
        <v>17</v>
      </c>
      <c r="B267" t="s">
        <v>18</v>
      </c>
      <c r="C267">
        <v>2021</v>
      </c>
      <c r="D267">
        <v>81417</v>
      </c>
      <c r="E267" t="s">
        <v>19</v>
      </c>
      <c r="F267">
        <v>2063.83</v>
      </c>
      <c r="G267">
        <v>101</v>
      </c>
      <c r="H267">
        <v>62.26</v>
      </c>
      <c r="I267">
        <v>168030.85</v>
      </c>
      <c r="J267">
        <v>26031</v>
      </c>
      <c r="K267">
        <v>2932</v>
      </c>
      <c r="L267">
        <v>791184</v>
      </c>
      <c r="M267">
        <v>37334.879999999997</v>
      </c>
      <c r="N267">
        <v>2128</v>
      </c>
    </row>
    <row r="268" spans="1:14" x14ac:dyDescent="0.3">
      <c r="A268" t="s">
        <v>40</v>
      </c>
      <c r="B268" t="s">
        <v>41</v>
      </c>
      <c r="C268">
        <v>2020</v>
      </c>
      <c r="D268">
        <v>97111</v>
      </c>
      <c r="E268" t="s">
        <v>49</v>
      </c>
      <c r="F268">
        <v>733.04</v>
      </c>
      <c r="G268">
        <v>190</v>
      </c>
      <c r="H268">
        <v>88.11</v>
      </c>
      <c r="I268">
        <v>71186.25</v>
      </c>
      <c r="J268">
        <v>18136</v>
      </c>
      <c r="K268">
        <v>3321</v>
      </c>
      <c r="L268">
        <v>111602</v>
      </c>
      <c r="M268">
        <v>10339.65</v>
      </c>
      <c r="N268">
        <v>2562</v>
      </c>
    </row>
    <row r="269" spans="1:14" x14ac:dyDescent="0.3">
      <c r="A269" t="s">
        <v>38</v>
      </c>
      <c r="B269" t="s">
        <v>42</v>
      </c>
      <c r="C269">
        <v>2024</v>
      </c>
      <c r="D269">
        <v>59460</v>
      </c>
      <c r="E269" t="s">
        <v>37</v>
      </c>
      <c r="F269">
        <v>575.4</v>
      </c>
      <c r="G269">
        <v>107</v>
      </c>
      <c r="H269">
        <v>357.74</v>
      </c>
      <c r="I269">
        <v>34213.279999999999</v>
      </c>
      <c r="J269">
        <v>12384</v>
      </c>
      <c r="K269">
        <v>3576</v>
      </c>
      <c r="L269">
        <v>198441</v>
      </c>
      <c r="M269">
        <v>3089.62</v>
      </c>
      <c r="N269">
        <v>4721</v>
      </c>
    </row>
    <row r="270" spans="1:14" x14ac:dyDescent="0.3">
      <c r="A270" t="s">
        <v>73</v>
      </c>
      <c r="B270" t="s">
        <v>74</v>
      </c>
      <c r="C270">
        <v>2023</v>
      </c>
      <c r="D270">
        <v>108829</v>
      </c>
      <c r="E270" t="s">
        <v>37</v>
      </c>
      <c r="F270">
        <v>2379.5</v>
      </c>
      <c r="G270">
        <v>68</v>
      </c>
      <c r="H270">
        <v>398.11</v>
      </c>
      <c r="I270">
        <v>258958.61</v>
      </c>
      <c r="J270">
        <v>20086</v>
      </c>
      <c r="K270">
        <v>2966</v>
      </c>
      <c r="L270">
        <v>797410</v>
      </c>
      <c r="M270">
        <v>57058.49</v>
      </c>
      <c r="N270">
        <v>6624</v>
      </c>
    </row>
    <row r="271" spans="1:14" x14ac:dyDescent="0.3">
      <c r="A271" t="s">
        <v>56</v>
      </c>
      <c r="B271" t="s">
        <v>57</v>
      </c>
      <c r="C271">
        <v>2022</v>
      </c>
      <c r="D271">
        <v>176278</v>
      </c>
      <c r="E271" t="s">
        <v>16</v>
      </c>
      <c r="F271">
        <v>976.43</v>
      </c>
      <c r="G271">
        <v>190</v>
      </c>
      <c r="H271">
        <v>289.25</v>
      </c>
      <c r="I271">
        <v>172123.13</v>
      </c>
      <c r="J271">
        <v>14343</v>
      </c>
      <c r="K271">
        <v>4407</v>
      </c>
      <c r="L271">
        <v>804471</v>
      </c>
      <c r="M271">
        <v>44205.62</v>
      </c>
      <c r="N271">
        <v>2384</v>
      </c>
    </row>
    <row r="272" spans="1:14" x14ac:dyDescent="0.3">
      <c r="A272" t="s">
        <v>61</v>
      </c>
      <c r="B272" t="s">
        <v>93</v>
      </c>
      <c r="C272">
        <v>2021</v>
      </c>
      <c r="D272">
        <v>186385</v>
      </c>
      <c r="E272" t="s">
        <v>37</v>
      </c>
      <c r="F272">
        <v>1541.21</v>
      </c>
      <c r="G272">
        <v>220</v>
      </c>
      <c r="H272">
        <v>168.05</v>
      </c>
      <c r="I272">
        <v>287258.43</v>
      </c>
      <c r="J272">
        <v>8558</v>
      </c>
      <c r="K272">
        <v>4347</v>
      </c>
      <c r="L272">
        <v>761238</v>
      </c>
      <c r="M272">
        <v>80175.3</v>
      </c>
      <c r="N272">
        <v>9773</v>
      </c>
    </row>
    <row r="273" spans="1:14" x14ac:dyDescent="0.3">
      <c r="A273" t="s">
        <v>23</v>
      </c>
      <c r="B273" t="s">
        <v>24</v>
      </c>
      <c r="C273">
        <v>2024</v>
      </c>
      <c r="D273">
        <v>77877</v>
      </c>
      <c r="E273" t="s">
        <v>47</v>
      </c>
      <c r="F273">
        <v>3548.47</v>
      </c>
      <c r="G273">
        <v>109</v>
      </c>
      <c r="H273">
        <v>249.76</v>
      </c>
      <c r="I273">
        <v>276344.2</v>
      </c>
      <c r="J273">
        <v>45317</v>
      </c>
      <c r="K273">
        <v>952</v>
      </c>
      <c r="L273">
        <v>60589</v>
      </c>
      <c r="M273">
        <v>72171.839999999997</v>
      </c>
      <c r="N273">
        <v>8579</v>
      </c>
    </row>
    <row r="274" spans="1:14" x14ac:dyDescent="0.3">
      <c r="A274" t="s">
        <v>69</v>
      </c>
      <c r="B274" t="s">
        <v>91</v>
      </c>
      <c r="C274">
        <v>2020</v>
      </c>
      <c r="D274">
        <v>100599</v>
      </c>
      <c r="E274" t="s">
        <v>49</v>
      </c>
      <c r="F274">
        <v>1734.73</v>
      </c>
      <c r="G274">
        <v>55</v>
      </c>
      <c r="H274">
        <v>196.35</v>
      </c>
      <c r="I274">
        <v>174512.1</v>
      </c>
      <c r="J274">
        <v>41730</v>
      </c>
      <c r="K274">
        <v>3677</v>
      </c>
      <c r="L274">
        <v>184794</v>
      </c>
      <c r="M274">
        <v>39121.040000000001</v>
      </c>
      <c r="N274">
        <v>825</v>
      </c>
    </row>
    <row r="275" spans="1:14" x14ac:dyDescent="0.3">
      <c r="A275" t="s">
        <v>43</v>
      </c>
      <c r="B275" t="s">
        <v>44</v>
      </c>
      <c r="C275">
        <v>2024</v>
      </c>
      <c r="D275">
        <v>93461</v>
      </c>
      <c r="E275" t="s">
        <v>25</v>
      </c>
      <c r="F275">
        <v>1095.82</v>
      </c>
      <c r="G275">
        <v>296</v>
      </c>
      <c r="H275">
        <v>169.67</v>
      </c>
      <c r="I275">
        <v>102416.43</v>
      </c>
      <c r="J275">
        <v>32386</v>
      </c>
      <c r="K275">
        <v>2623</v>
      </c>
      <c r="L275">
        <v>402854</v>
      </c>
      <c r="M275">
        <v>16155.78</v>
      </c>
      <c r="N275">
        <v>224</v>
      </c>
    </row>
    <row r="276" spans="1:14" x14ac:dyDescent="0.3">
      <c r="A276" t="s">
        <v>17</v>
      </c>
      <c r="B276" t="s">
        <v>18</v>
      </c>
      <c r="C276">
        <v>2023</v>
      </c>
      <c r="D276">
        <v>135166</v>
      </c>
      <c r="E276" t="s">
        <v>25</v>
      </c>
      <c r="F276">
        <v>2736.03</v>
      </c>
      <c r="G276">
        <v>330</v>
      </c>
      <c r="H276">
        <v>122.1</v>
      </c>
      <c r="I276">
        <v>369818.23</v>
      </c>
      <c r="J276">
        <v>36980</v>
      </c>
      <c r="K276">
        <v>3596</v>
      </c>
      <c r="L276">
        <v>444825</v>
      </c>
      <c r="M276">
        <v>26268.9</v>
      </c>
      <c r="N276">
        <v>9649</v>
      </c>
    </row>
    <row r="277" spans="1:14" x14ac:dyDescent="0.3">
      <c r="A277" t="s">
        <v>69</v>
      </c>
      <c r="B277" t="s">
        <v>70</v>
      </c>
      <c r="C277">
        <v>2022</v>
      </c>
      <c r="D277">
        <v>127154</v>
      </c>
      <c r="E277" t="s">
        <v>25</v>
      </c>
      <c r="F277">
        <v>1233.5899999999999</v>
      </c>
      <c r="G277">
        <v>60</v>
      </c>
      <c r="H277">
        <v>423.57</v>
      </c>
      <c r="I277">
        <v>156855.9</v>
      </c>
      <c r="J277">
        <v>45149</v>
      </c>
      <c r="K277">
        <v>4292</v>
      </c>
      <c r="L277">
        <v>178447</v>
      </c>
      <c r="M277">
        <v>18733.259999999998</v>
      </c>
      <c r="N277">
        <v>9075</v>
      </c>
    </row>
    <row r="278" spans="1:14" x14ac:dyDescent="0.3">
      <c r="A278" t="s">
        <v>61</v>
      </c>
      <c r="B278" t="s">
        <v>68</v>
      </c>
      <c r="C278">
        <v>2020</v>
      </c>
      <c r="D278">
        <v>100705</v>
      </c>
      <c r="E278" t="s">
        <v>25</v>
      </c>
      <c r="F278">
        <v>3790.21</v>
      </c>
      <c r="G278">
        <v>490</v>
      </c>
      <c r="H278">
        <v>404.32</v>
      </c>
      <c r="I278">
        <v>381693.1</v>
      </c>
      <c r="J278">
        <v>30006</v>
      </c>
      <c r="K278">
        <v>2845</v>
      </c>
      <c r="L278">
        <v>983963</v>
      </c>
      <c r="M278">
        <v>73114.75</v>
      </c>
      <c r="N278">
        <v>4786</v>
      </c>
    </row>
    <row r="279" spans="1:14" x14ac:dyDescent="0.3">
      <c r="A279" t="s">
        <v>43</v>
      </c>
      <c r="B279" t="s">
        <v>44</v>
      </c>
      <c r="C279">
        <v>2021</v>
      </c>
      <c r="D279">
        <v>82766</v>
      </c>
      <c r="E279" t="s">
        <v>47</v>
      </c>
      <c r="F279">
        <v>1093.8399999999999</v>
      </c>
      <c r="G279">
        <v>112</v>
      </c>
      <c r="H279">
        <v>72.760000000000005</v>
      </c>
      <c r="I279">
        <v>90532.76</v>
      </c>
      <c r="J279">
        <v>23443</v>
      </c>
      <c r="K279">
        <v>4126</v>
      </c>
      <c r="L279">
        <v>489358</v>
      </c>
      <c r="M279">
        <v>9643.5300000000007</v>
      </c>
      <c r="N279">
        <v>2943</v>
      </c>
    </row>
    <row r="280" spans="1:14" x14ac:dyDescent="0.3">
      <c r="A280" t="s">
        <v>30</v>
      </c>
      <c r="B280" t="s">
        <v>92</v>
      </c>
      <c r="C280">
        <v>2022</v>
      </c>
      <c r="D280">
        <v>144837</v>
      </c>
      <c r="E280" t="s">
        <v>25</v>
      </c>
      <c r="F280">
        <v>4418.1000000000004</v>
      </c>
      <c r="G280">
        <v>449</v>
      </c>
      <c r="H280">
        <v>199.4</v>
      </c>
      <c r="I280">
        <v>639904.35</v>
      </c>
      <c r="J280">
        <v>6094</v>
      </c>
      <c r="K280">
        <v>3695</v>
      </c>
      <c r="L280">
        <v>280780</v>
      </c>
      <c r="M280">
        <v>85491.41</v>
      </c>
      <c r="N280">
        <v>4813</v>
      </c>
    </row>
    <row r="281" spans="1:14" x14ac:dyDescent="0.3">
      <c r="A281" t="s">
        <v>40</v>
      </c>
      <c r="B281" t="s">
        <v>72</v>
      </c>
      <c r="C281">
        <v>2024</v>
      </c>
      <c r="D281">
        <v>184164</v>
      </c>
      <c r="E281" t="s">
        <v>47</v>
      </c>
      <c r="F281">
        <v>3920.72</v>
      </c>
      <c r="G281">
        <v>197</v>
      </c>
      <c r="H281">
        <v>380.26</v>
      </c>
      <c r="I281">
        <v>722055.48</v>
      </c>
      <c r="J281">
        <v>9926</v>
      </c>
      <c r="K281">
        <v>3465</v>
      </c>
      <c r="L281">
        <v>381999</v>
      </c>
      <c r="M281">
        <v>46334.38</v>
      </c>
      <c r="N281">
        <v>9121</v>
      </c>
    </row>
    <row r="282" spans="1:14" x14ac:dyDescent="0.3">
      <c r="A282" t="s">
        <v>32</v>
      </c>
      <c r="B282" t="s">
        <v>96</v>
      </c>
      <c r="C282">
        <v>2021</v>
      </c>
      <c r="D282">
        <v>133829</v>
      </c>
      <c r="E282" t="s">
        <v>22</v>
      </c>
      <c r="F282">
        <v>4487.3900000000003</v>
      </c>
      <c r="G282">
        <v>469</v>
      </c>
      <c r="H282">
        <v>104.95</v>
      </c>
      <c r="I282">
        <v>600542.92000000004</v>
      </c>
      <c r="J282">
        <v>36730</v>
      </c>
      <c r="K282">
        <v>3906</v>
      </c>
      <c r="L282">
        <v>638216</v>
      </c>
      <c r="M282">
        <v>111938.52</v>
      </c>
      <c r="N282">
        <v>3848</v>
      </c>
    </row>
    <row r="283" spans="1:14" x14ac:dyDescent="0.3">
      <c r="A283" t="s">
        <v>73</v>
      </c>
      <c r="B283" t="s">
        <v>75</v>
      </c>
      <c r="C283">
        <v>2023</v>
      </c>
      <c r="D283">
        <v>76553</v>
      </c>
      <c r="E283" t="s">
        <v>19</v>
      </c>
      <c r="F283">
        <v>4953.8999999999996</v>
      </c>
      <c r="G283">
        <v>186</v>
      </c>
      <c r="H283">
        <v>120.29</v>
      </c>
      <c r="I283">
        <v>379235.91</v>
      </c>
      <c r="J283">
        <v>15374</v>
      </c>
      <c r="K283">
        <v>989</v>
      </c>
      <c r="L283">
        <v>552237</v>
      </c>
      <c r="M283">
        <v>91175.51</v>
      </c>
      <c r="N283">
        <v>387</v>
      </c>
    </row>
    <row r="284" spans="1:14" x14ac:dyDescent="0.3">
      <c r="A284" t="s">
        <v>69</v>
      </c>
      <c r="B284" t="s">
        <v>91</v>
      </c>
      <c r="C284">
        <v>2022</v>
      </c>
      <c r="D284">
        <v>72337</v>
      </c>
      <c r="E284" t="s">
        <v>37</v>
      </c>
      <c r="F284">
        <v>2508.9899999999998</v>
      </c>
      <c r="G284">
        <v>322</v>
      </c>
      <c r="H284">
        <v>275.32</v>
      </c>
      <c r="I284">
        <v>181492.81</v>
      </c>
      <c r="J284">
        <v>45975</v>
      </c>
      <c r="K284">
        <v>744</v>
      </c>
      <c r="L284">
        <v>820974</v>
      </c>
      <c r="M284">
        <v>46429.18</v>
      </c>
      <c r="N284">
        <v>8597</v>
      </c>
    </row>
    <row r="285" spans="1:14" x14ac:dyDescent="0.3">
      <c r="A285" t="s">
        <v>32</v>
      </c>
      <c r="B285" t="s">
        <v>33</v>
      </c>
      <c r="C285">
        <v>2024</v>
      </c>
      <c r="D285">
        <v>61984</v>
      </c>
      <c r="E285" t="s">
        <v>49</v>
      </c>
      <c r="F285">
        <v>4963.83</v>
      </c>
      <c r="G285">
        <v>230</v>
      </c>
      <c r="H285">
        <v>394.41</v>
      </c>
      <c r="I285">
        <v>307678.03999999998</v>
      </c>
      <c r="J285">
        <v>26889</v>
      </c>
      <c r="K285">
        <v>1631</v>
      </c>
      <c r="L285">
        <v>978274</v>
      </c>
      <c r="M285">
        <v>90699.76</v>
      </c>
      <c r="N285">
        <v>2637</v>
      </c>
    </row>
    <row r="286" spans="1:14" x14ac:dyDescent="0.3">
      <c r="A286" t="s">
        <v>26</v>
      </c>
      <c r="B286" t="s">
        <v>78</v>
      </c>
      <c r="C286">
        <v>2023</v>
      </c>
      <c r="D286">
        <v>65216</v>
      </c>
      <c r="E286" t="s">
        <v>16</v>
      </c>
      <c r="F286">
        <v>3946.23</v>
      </c>
      <c r="G286">
        <v>231</v>
      </c>
      <c r="H286">
        <v>243.08</v>
      </c>
      <c r="I286">
        <v>257357.34</v>
      </c>
      <c r="J286">
        <v>41635</v>
      </c>
      <c r="K286">
        <v>943</v>
      </c>
      <c r="L286">
        <v>869497</v>
      </c>
      <c r="M286">
        <v>53101.19</v>
      </c>
      <c r="N286">
        <v>1360</v>
      </c>
    </row>
    <row r="287" spans="1:14" x14ac:dyDescent="0.3">
      <c r="A287" t="s">
        <v>59</v>
      </c>
      <c r="B287" t="s">
        <v>83</v>
      </c>
      <c r="C287">
        <v>2024</v>
      </c>
      <c r="D287">
        <v>136483</v>
      </c>
      <c r="E287" t="s">
        <v>19</v>
      </c>
      <c r="F287">
        <v>1010.48</v>
      </c>
      <c r="G287">
        <v>209</v>
      </c>
      <c r="H287">
        <v>265.33999999999997</v>
      </c>
      <c r="I287">
        <v>137913.34</v>
      </c>
      <c r="J287">
        <v>10543</v>
      </c>
      <c r="K287">
        <v>2381</v>
      </c>
      <c r="L287">
        <v>95256</v>
      </c>
      <c r="M287">
        <v>34711.32</v>
      </c>
      <c r="N287">
        <v>1509</v>
      </c>
    </row>
    <row r="288" spans="1:14" x14ac:dyDescent="0.3">
      <c r="A288" t="s">
        <v>34</v>
      </c>
      <c r="B288" t="s">
        <v>67</v>
      </c>
      <c r="C288">
        <v>2020</v>
      </c>
      <c r="D288">
        <v>76270</v>
      </c>
      <c r="E288" t="s">
        <v>25</v>
      </c>
      <c r="F288">
        <v>2290.48</v>
      </c>
      <c r="G288">
        <v>150</v>
      </c>
      <c r="H288">
        <v>309.60000000000002</v>
      </c>
      <c r="I288">
        <v>174694.91</v>
      </c>
      <c r="J288">
        <v>7172</v>
      </c>
      <c r="K288">
        <v>3464</v>
      </c>
      <c r="L288">
        <v>299737</v>
      </c>
      <c r="M288">
        <v>45412.83</v>
      </c>
      <c r="N288">
        <v>6235</v>
      </c>
    </row>
    <row r="289" spans="1:14" x14ac:dyDescent="0.3">
      <c r="A289" t="s">
        <v>32</v>
      </c>
      <c r="B289" t="s">
        <v>96</v>
      </c>
      <c r="C289">
        <v>2024</v>
      </c>
      <c r="D289">
        <v>186645</v>
      </c>
      <c r="E289" t="s">
        <v>22</v>
      </c>
      <c r="F289">
        <v>1820.09</v>
      </c>
      <c r="G289">
        <v>385</v>
      </c>
      <c r="H289">
        <v>497.49</v>
      </c>
      <c r="I289">
        <v>339710.7</v>
      </c>
      <c r="J289">
        <v>7776</v>
      </c>
      <c r="K289">
        <v>3488</v>
      </c>
      <c r="L289">
        <v>865267</v>
      </c>
      <c r="M289">
        <v>66345.11</v>
      </c>
      <c r="N289">
        <v>5160</v>
      </c>
    </row>
    <row r="290" spans="1:14" x14ac:dyDescent="0.3">
      <c r="A290" t="s">
        <v>30</v>
      </c>
      <c r="B290" t="s">
        <v>92</v>
      </c>
      <c r="C290">
        <v>2020</v>
      </c>
      <c r="D290">
        <v>180499</v>
      </c>
      <c r="E290" t="s">
        <v>37</v>
      </c>
      <c r="F290">
        <v>1074.99</v>
      </c>
      <c r="G290">
        <v>255</v>
      </c>
      <c r="H290">
        <v>377.95</v>
      </c>
      <c r="I290">
        <v>194034.62</v>
      </c>
      <c r="J290">
        <v>12148</v>
      </c>
      <c r="K290">
        <v>2864</v>
      </c>
      <c r="L290">
        <v>915990</v>
      </c>
      <c r="M290">
        <v>49160.34</v>
      </c>
      <c r="N290">
        <v>8040</v>
      </c>
    </row>
    <row r="291" spans="1:14" x14ac:dyDescent="0.3">
      <c r="A291" t="s">
        <v>30</v>
      </c>
      <c r="B291" t="s">
        <v>92</v>
      </c>
      <c r="C291">
        <v>2020</v>
      </c>
      <c r="D291">
        <v>73382</v>
      </c>
      <c r="E291" t="s">
        <v>37</v>
      </c>
      <c r="F291">
        <v>4009.19</v>
      </c>
      <c r="G291">
        <v>402</v>
      </c>
      <c r="H291">
        <v>56.14</v>
      </c>
      <c r="I291">
        <v>294202.38</v>
      </c>
      <c r="J291">
        <v>18666</v>
      </c>
      <c r="K291">
        <v>4678</v>
      </c>
      <c r="L291">
        <v>153533</v>
      </c>
      <c r="M291">
        <v>54449.46</v>
      </c>
      <c r="N291">
        <v>425</v>
      </c>
    </row>
    <row r="292" spans="1:14" x14ac:dyDescent="0.3">
      <c r="A292" t="s">
        <v>61</v>
      </c>
      <c r="B292" t="s">
        <v>93</v>
      </c>
      <c r="C292">
        <v>2020</v>
      </c>
      <c r="D292">
        <v>59726</v>
      </c>
      <c r="E292" t="s">
        <v>25</v>
      </c>
      <c r="F292">
        <v>2209.91</v>
      </c>
      <c r="G292">
        <v>268</v>
      </c>
      <c r="H292">
        <v>158.13</v>
      </c>
      <c r="I292">
        <v>131989.07999999999</v>
      </c>
      <c r="J292">
        <v>47230</v>
      </c>
      <c r="K292">
        <v>4578</v>
      </c>
      <c r="L292">
        <v>100519</v>
      </c>
      <c r="M292">
        <v>9491.66</v>
      </c>
      <c r="N292">
        <v>4066</v>
      </c>
    </row>
    <row r="293" spans="1:14" x14ac:dyDescent="0.3">
      <c r="A293" t="s">
        <v>17</v>
      </c>
      <c r="B293" t="s">
        <v>18</v>
      </c>
      <c r="C293">
        <v>2023</v>
      </c>
      <c r="D293">
        <v>139524</v>
      </c>
      <c r="E293" t="s">
        <v>19</v>
      </c>
      <c r="F293">
        <v>2312.17</v>
      </c>
      <c r="G293">
        <v>375</v>
      </c>
      <c r="H293">
        <v>316.54000000000002</v>
      </c>
      <c r="I293">
        <v>322603.21000000002</v>
      </c>
      <c r="J293">
        <v>7994</v>
      </c>
      <c r="K293">
        <v>3256</v>
      </c>
      <c r="L293">
        <v>579882</v>
      </c>
      <c r="M293">
        <v>62314.27</v>
      </c>
      <c r="N293">
        <v>8054</v>
      </c>
    </row>
    <row r="294" spans="1:14" x14ac:dyDescent="0.3">
      <c r="A294" t="s">
        <v>17</v>
      </c>
      <c r="B294" t="s">
        <v>36</v>
      </c>
      <c r="C294">
        <v>2023</v>
      </c>
      <c r="D294">
        <v>155573</v>
      </c>
      <c r="E294" t="s">
        <v>49</v>
      </c>
      <c r="F294">
        <v>4011.57</v>
      </c>
      <c r="G294">
        <v>490</v>
      </c>
      <c r="H294">
        <v>178.04</v>
      </c>
      <c r="I294">
        <v>624091.98</v>
      </c>
      <c r="J294">
        <v>48059</v>
      </c>
      <c r="K294">
        <v>4425</v>
      </c>
      <c r="L294">
        <v>563066</v>
      </c>
      <c r="M294">
        <v>50793.25</v>
      </c>
      <c r="N294">
        <v>398</v>
      </c>
    </row>
    <row r="295" spans="1:14" x14ac:dyDescent="0.3">
      <c r="A295" t="s">
        <v>43</v>
      </c>
      <c r="B295" t="s">
        <v>58</v>
      </c>
      <c r="C295">
        <v>2022</v>
      </c>
      <c r="D295">
        <v>106396</v>
      </c>
      <c r="E295" t="s">
        <v>16</v>
      </c>
      <c r="F295">
        <v>887.14</v>
      </c>
      <c r="G295">
        <v>88</v>
      </c>
      <c r="H295">
        <v>488.96</v>
      </c>
      <c r="I295">
        <v>94388.15</v>
      </c>
      <c r="J295">
        <v>17254</v>
      </c>
      <c r="K295">
        <v>2302</v>
      </c>
      <c r="L295">
        <v>388585</v>
      </c>
      <c r="M295">
        <v>26724.7</v>
      </c>
      <c r="N295">
        <v>2007</v>
      </c>
    </row>
    <row r="296" spans="1:14" x14ac:dyDescent="0.3">
      <c r="A296" t="s">
        <v>50</v>
      </c>
      <c r="B296" t="s">
        <v>77</v>
      </c>
      <c r="C296">
        <v>2024</v>
      </c>
      <c r="D296">
        <v>185909</v>
      </c>
      <c r="E296" t="s">
        <v>37</v>
      </c>
      <c r="F296">
        <v>1192.6400000000001</v>
      </c>
      <c r="G296">
        <v>377</v>
      </c>
      <c r="H296">
        <v>312.41000000000003</v>
      </c>
      <c r="I296">
        <v>221722.51</v>
      </c>
      <c r="J296">
        <v>23350</v>
      </c>
      <c r="K296">
        <v>4862</v>
      </c>
      <c r="L296">
        <v>138422</v>
      </c>
      <c r="M296">
        <v>21614.400000000001</v>
      </c>
      <c r="N296">
        <v>1752</v>
      </c>
    </row>
    <row r="297" spans="1:14" x14ac:dyDescent="0.3">
      <c r="A297" t="s">
        <v>26</v>
      </c>
      <c r="B297" t="s">
        <v>78</v>
      </c>
      <c r="C297">
        <v>2022</v>
      </c>
      <c r="D297">
        <v>168580</v>
      </c>
      <c r="E297" t="s">
        <v>22</v>
      </c>
      <c r="F297">
        <v>755.97</v>
      </c>
      <c r="G297">
        <v>167</v>
      </c>
      <c r="H297">
        <v>186.36</v>
      </c>
      <c r="I297">
        <v>127441.42</v>
      </c>
      <c r="J297">
        <v>48123</v>
      </c>
      <c r="K297">
        <v>1598</v>
      </c>
      <c r="L297">
        <v>695424</v>
      </c>
      <c r="M297">
        <v>16160.81</v>
      </c>
      <c r="N297">
        <v>3669</v>
      </c>
    </row>
    <row r="298" spans="1:14" x14ac:dyDescent="0.3">
      <c r="A298" t="s">
        <v>61</v>
      </c>
      <c r="B298" t="s">
        <v>93</v>
      </c>
      <c r="C298">
        <v>2023</v>
      </c>
      <c r="D298">
        <v>90475</v>
      </c>
      <c r="E298" t="s">
        <v>37</v>
      </c>
      <c r="F298">
        <v>2055.31</v>
      </c>
      <c r="G298">
        <v>78</v>
      </c>
      <c r="H298">
        <v>202.69</v>
      </c>
      <c r="I298">
        <v>185954.17</v>
      </c>
      <c r="J298">
        <v>32405</v>
      </c>
      <c r="K298">
        <v>1297</v>
      </c>
      <c r="L298">
        <v>201899</v>
      </c>
      <c r="M298">
        <v>30298.42</v>
      </c>
      <c r="N298">
        <v>1046</v>
      </c>
    </row>
    <row r="299" spans="1:14" x14ac:dyDescent="0.3">
      <c r="A299" t="s">
        <v>59</v>
      </c>
      <c r="B299" t="s">
        <v>89</v>
      </c>
      <c r="C299">
        <v>2023</v>
      </c>
      <c r="D299">
        <v>64693</v>
      </c>
      <c r="E299" t="s">
        <v>16</v>
      </c>
      <c r="F299">
        <v>3468.61</v>
      </c>
      <c r="G299">
        <v>293</v>
      </c>
      <c r="H299">
        <v>228.63</v>
      </c>
      <c r="I299">
        <v>224394.79</v>
      </c>
      <c r="J299">
        <v>16350</v>
      </c>
      <c r="K299">
        <v>4090</v>
      </c>
      <c r="L299">
        <v>409701</v>
      </c>
      <c r="M299">
        <v>22307.040000000001</v>
      </c>
      <c r="N299">
        <v>6206</v>
      </c>
    </row>
    <row r="300" spans="1:14" x14ac:dyDescent="0.3">
      <c r="A300" t="s">
        <v>50</v>
      </c>
      <c r="B300" t="s">
        <v>77</v>
      </c>
      <c r="C300">
        <v>2023</v>
      </c>
      <c r="D300">
        <v>95875</v>
      </c>
      <c r="E300" t="s">
        <v>49</v>
      </c>
      <c r="F300">
        <v>1231.42</v>
      </c>
      <c r="G300">
        <v>53</v>
      </c>
      <c r="H300">
        <v>380.46</v>
      </c>
      <c r="I300">
        <v>118062.39</v>
      </c>
      <c r="J300">
        <v>13693</v>
      </c>
      <c r="K300">
        <v>2618</v>
      </c>
      <c r="L300">
        <v>113965</v>
      </c>
      <c r="M300">
        <v>8813.19</v>
      </c>
      <c r="N300">
        <v>9047</v>
      </c>
    </row>
    <row r="301" spans="1:14" x14ac:dyDescent="0.3">
      <c r="A301" t="s">
        <v>14</v>
      </c>
      <c r="B301" t="s">
        <v>15</v>
      </c>
      <c r="C301">
        <v>2020</v>
      </c>
      <c r="D301">
        <v>98785</v>
      </c>
      <c r="E301" t="s">
        <v>25</v>
      </c>
      <c r="F301">
        <v>4454.46</v>
      </c>
      <c r="G301">
        <v>300</v>
      </c>
      <c r="H301">
        <v>244.75</v>
      </c>
      <c r="I301">
        <v>440033.83</v>
      </c>
      <c r="J301">
        <v>35979</v>
      </c>
      <c r="K301">
        <v>4122</v>
      </c>
      <c r="L301">
        <v>545919</v>
      </c>
      <c r="M301">
        <v>73696.36</v>
      </c>
      <c r="N301">
        <v>5285</v>
      </c>
    </row>
    <row r="302" spans="1:14" x14ac:dyDescent="0.3">
      <c r="A302" t="s">
        <v>17</v>
      </c>
      <c r="B302" t="s">
        <v>18</v>
      </c>
      <c r="C302">
        <v>2021</v>
      </c>
      <c r="D302">
        <v>166843</v>
      </c>
      <c r="E302" t="s">
        <v>37</v>
      </c>
      <c r="F302">
        <v>2119.0700000000002</v>
      </c>
      <c r="G302">
        <v>304</v>
      </c>
      <c r="H302">
        <v>473.4</v>
      </c>
      <c r="I302">
        <v>353552</v>
      </c>
      <c r="J302">
        <v>13448</v>
      </c>
      <c r="K302">
        <v>2381</v>
      </c>
      <c r="L302">
        <v>55209</v>
      </c>
      <c r="M302">
        <v>81499.58</v>
      </c>
      <c r="N302">
        <v>8033</v>
      </c>
    </row>
    <row r="303" spans="1:14" x14ac:dyDescent="0.3">
      <c r="A303" t="s">
        <v>14</v>
      </c>
      <c r="B303" t="s">
        <v>15</v>
      </c>
      <c r="C303">
        <v>2022</v>
      </c>
      <c r="D303">
        <v>153780</v>
      </c>
      <c r="E303" t="s">
        <v>19</v>
      </c>
      <c r="F303">
        <v>4527.79</v>
      </c>
      <c r="G303">
        <v>61</v>
      </c>
      <c r="H303">
        <v>477.74</v>
      </c>
      <c r="I303">
        <v>696283.55</v>
      </c>
      <c r="J303">
        <v>13346</v>
      </c>
      <c r="K303">
        <v>1769</v>
      </c>
      <c r="L303">
        <v>885988</v>
      </c>
      <c r="M303">
        <v>74274.42</v>
      </c>
      <c r="N303">
        <v>5706</v>
      </c>
    </row>
    <row r="304" spans="1:14" x14ac:dyDescent="0.3">
      <c r="A304" t="s">
        <v>69</v>
      </c>
      <c r="B304" t="s">
        <v>70</v>
      </c>
      <c r="C304">
        <v>2023</v>
      </c>
      <c r="D304">
        <v>185028</v>
      </c>
      <c r="E304" t="s">
        <v>22</v>
      </c>
      <c r="F304">
        <v>1071.93</v>
      </c>
      <c r="G304">
        <v>259</v>
      </c>
      <c r="H304">
        <v>222.45</v>
      </c>
      <c r="I304">
        <v>198337.06</v>
      </c>
      <c r="J304">
        <v>43308</v>
      </c>
      <c r="K304">
        <v>1390</v>
      </c>
      <c r="L304">
        <v>521761</v>
      </c>
      <c r="M304">
        <v>34884.86</v>
      </c>
      <c r="N304">
        <v>9741</v>
      </c>
    </row>
    <row r="305" spans="1:14" x14ac:dyDescent="0.3">
      <c r="A305" t="s">
        <v>63</v>
      </c>
      <c r="B305" t="s">
        <v>64</v>
      </c>
      <c r="C305">
        <v>2022</v>
      </c>
      <c r="D305">
        <v>105798</v>
      </c>
      <c r="E305" t="s">
        <v>49</v>
      </c>
      <c r="F305">
        <v>2363.63</v>
      </c>
      <c r="G305">
        <v>447</v>
      </c>
      <c r="H305">
        <v>124.08</v>
      </c>
      <c r="I305">
        <v>250067.33</v>
      </c>
      <c r="J305">
        <v>46183</v>
      </c>
      <c r="K305">
        <v>2154</v>
      </c>
      <c r="L305">
        <v>324864</v>
      </c>
      <c r="M305">
        <v>24058.880000000001</v>
      </c>
      <c r="N305">
        <v>8771</v>
      </c>
    </row>
    <row r="306" spans="1:14" x14ac:dyDescent="0.3">
      <c r="A306" t="s">
        <v>63</v>
      </c>
      <c r="B306" t="s">
        <v>64</v>
      </c>
      <c r="C306">
        <v>2024</v>
      </c>
      <c r="D306">
        <v>127242</v>
      </c>
      <c r="E306" t="s">
        <v>22</v>
      </c>
      <c r="F306">
        <v>3499.35</v>
      </c>
      <c r="G306">
        <v>462</v>
      </c>
      <c r="H306">
        <v>55.55</v>
      </c>
      <c r="I306">
        <v>445264.29</v>
      </c>
      <c r="J306">
        <v>10506</v>
      </c>
      <c r="K306">
        <v>2895</v>
      </c>
      <c r="L306">
        <v>140140</v>
      </c>
      <c r="M306">
        <v>27957.05</v>
      </c>
      <c r="N306">
        <v>9195</v>
      </c>
    </row>
    <row r="307" spans="1:14" x14ac:dyDescent="0.3">
      <c r="A307" t="s">
        <v>45</v>
      </c>
      <c r="B307" t="s">
        <v>66</v>
      </c>
      <c r="C307">
        <v>2024</v>
      </c>
      <c r="D307">
        <v>93129</v>
      </c>
      <c r="E307" t="s">
        <v>19</v>
      </c>
      <c r="F307">
        <v>2775.64</v>
      </c>
      <c r="G307">
        <v>94</v>
      </c>
      <c r="H307">
        <v>298.98</v>
      </c>
      <c r="I307">
        <v>258492.58</v>
      </c>
      <c r="J307">
        <v>16279</v>
      </c>
      <c r="K307">
        <v>4067</v>
      </c>
      <c r="L307">
        <v>830296</v>
      </c>
      <c r="M307">
        <v>74949.34</v>
      </c>
      <c r="N307">
        <v>3596</v>
      </c>
    </row>
    <row r="308" spans="1:14" x14ac:dyDescent="0.3">
      <c r="A308" t="s">
        <v>32</v>
      </c>
      <c r="B308" t="s">
        <v>96</v>
      </c>
      <c r="C308">
        <v>2022</v>
      </c>
      <c r="D308">
        <v>94439</v>
      </c>
      <c r="E308" t="s">
        <v>19</v>
      </c>
      <c r="F308">
        <v>2530.37</v>
      </c>
      <c r="G308">
        <v>257</v>
      </c>
      <c r="H308">
        <v>428.97</v>
      </c>
      <c r="I308">
        <v>238965.61</v>
      </c>
      <c r="J308">
        <v>41824</v>
      </c>
      <c r="K308">
        <v>4036</v>
      </c>
      <c r="L308">
        <v>469515</v>
      </c>
      <c r="M308">
        <v>42927.88</v>
      </c>
      <c r="N308">
        <v>9742</v>
      </c>
    </row>
    <row r="309" spans="1:14" x14ac:dyDescent="0.3">
      <c r="A309" t="s">
        <v>43</v>
      </c>
      <c r="B309" t="s">
        <v>44</v>
      </c>
      <c r="C309">
        <v>2021</v>
      </c>
      <c r="D309">
        <v>102413</v>
      </c>
      <c r="E309" t="s">
        <v>47</v>
      </c>
      <c r="F309">
        <v>2996.29</v>
      </c>
      <c r="G309">
        <v>493</v>
      </c>
      <c r="H309">
        <v>126.44</v>
      </c>
      <c r="I309">
        <v>306859.05</v>
      </c>
      <c r="J309">
        <v>23610</v>
      </c>
      <c r="K309">
        <v>4706</v>
      </c>
      <c r="L309">
        <v>498648</v>
      </c>
      <c r="M309">
        <v>17184.490000000002</v>
      </c>
      <c r="N309">
        <v>8614</v>
      </c>
    </row>
    <row r="310" spans="1:14" x14ac:dyDescent="0.3">
      <c r="A310" t="s">
        <v>69</v>
      </c>
      <c r="B310" t="s">
        <v>70</v>
      </c>
      <c r="C310">
        <v>2021</v>
      </c>
      <c r="D310">
        <v>175849</v>
      </c>
      <c r="E310" t="s">
        <v>49</v>
      </c>
      <c r="F310">
        <v>3778.95</v>
      </c>
      <c r="G310">
        <v>143</v>
      </c>
      <c r="H310">
        <v>270.68</v>
      </c>
      <c r="I310">
        <v>664524.57999999996</v>
      </c>
      <c r="J310">
        <v>45644</v>
      </c>
      <c r="K310">
        <v>1641</v>
      </c>
      <c r="L310">
        <v>468641</v>
      </c>
      <c r="M310">
        <v>145787.69</v>
      </c>
      <c r="N310">
        <v>594</v>
      </c>
    </row>
    <row r="311" spans="1:14" x14ac:dyDescent="0.3">
      <c r="A311" t="s">
        <v>73</v>
      </c>
      <c r="B311" t="s">
        <v>74</v>
      </c>
      <c r="C311">
        <v>2023</v>
      </c>
      <c r="D311">
        <v>145345</v>
      </c>
      <c r="E311" t="s">
        <v>25</v>
      </c>
      <c r="F311">
        <v>3413.56</v>
      </c>
      <c r="G311">
        <v>358</v>
      </c>
      <c r="H311">
        <v>359.28</v>
      </c>
      <c r="I311">
        <v>496143.88</v>
      </c>
      <c r="J311">
        <v>34709</v>
      </c>
      <c r="K311">
        <v>1951</v>
      </c>
      <c r="L311">
        <v>584231</v>
      </c>
      <c r="M311">
        <v>75621.37</v>
      </c>
      <c r="N311">
        <v>6319</v>
      </c>
    </row>
    <row r="312" spans="1:14" x14ac:dyDescent="0.3">
      <c r="A312" t="s">
        <v>56</v>
      </c>
      <c r="B312" t="s">
        <v>57</v>
      </c>
      <c r="C312">
        <v>2021</v>
      </c>
      <c r="D312">
        <v>78379</v>
      </c>
      <c r="E312" t="s">
        <v>16</v>
      </c>
      <c r="F312">
        <v>3102.62</v>
      </c>
      <c r="G312">
        <v>428</v>
      </c>
      <c r="H312">
        <v>80.59</v>
      </c>
      <c r="I312">
        <v>243180.25</v>
      </c>
      <c r="J312">
        <v>10296</v>
      </c>
      <c r="K312">
        <v>626</v>
      </c>
      <c r="L312">
        <v>252210</v>
      </c>
      <c r="M312">
        <v>53241.96</v>
      </c>
      <c r="N312">
        <v>6783</v>
      </c>
    </row>
    <row r="313" spans="1:14" x14ac:dyDescent="0.3">
      <c r="A313" t="s">
        <v>56</v>
      </c>
      <c r="B313" t="s">
        <v>57</v>
      </c>
      <c r="C313">
        <v>2020</v>
      </c>
      <c r="D313">
        <v>70923</v>
      </c>
      <c r="E313" t="s">
        <v>37</v>
      </c>
      <c r="F313">
        <v>549.85</v>
      </c>
      <c r="G313">
        <v>263</v>
      </c>
      <c r="H313">
        <v>445.82</v>
      </c>
      <c r="I313">
        <v>38997.01</v>
      </c>
      <c r="J313">
        <v>33756</v>
      </c>
      <c r="K313">
        <v>2612</v>
      </c>
      <c r="L313">
        <v>604629</v>
      </c>
      <c r="M313">
        <v>8474.24</v>
      </c>
      <c r="N313">
        <v>590</v>
      </c>
    </row>
    <row r="314" spans="1:14" x14ac:dyDescent="0.3">
      <c r="A314" t="s">
        <v>53</v>
      </c>
      <c r="B314" t="s">
        <v>81</v>
      </c>
      <c r="C314">
        <v>2021</v>
      </c>
      <c r="D314">
        <v>53729</v>
      </c>
      <c r="E314" t="s">
        <v>47</v>
      </c>
      <c r="F314">
        <v>1226.56</v>
      </c>
      <c r="G314">
        <v>456</v>
      </c>
      <c r="H314">
        <v>191.75</v>
      </c>
      <c r="I314">
        <v>65901.84</v>
      </c>
      <c r="J314">
        <v>40755</v>
      </c>
      <c r="K314">
        <v>1181</v>
      </c>
      <c r="L314">
        <v>595926</v>
      </c>
      <c r="M314">
        <v>12585.49</v>
      </c>
      <c r="N314">
        <v>8066</v>
      </c>
    </row>
    <row r="315" spans="1:14" x14ac:dyDescent="0.3">
      <c r="A315" t="s">
        <v>20</v>
      </c>
      <c r="B315" t="s">
        <v>29</v>
      </c>
      <c r="C315">
        <v>2024</v>
      </c>
      <c r="D315">
        <v>118116</v>
      </c>
      <c r="E315" t="s">
        <v>47</v>
      </c>
      <c r="F315">
        <v>3245.49</v>
      </c>
      <c r="G315">
        <v>392</v>
      </c>
      <c r="H315">
        <v>192.79</v>
      </c>
      <c r="I315">
        <v>383344.3</v>
      </c>
      <c r="J315">
        <v>17021</v>
      </c>
      <c r="K315">
        <v>3972</v>
      </c>
      <c r="L315">
        <v>779115</v>
      </c>
      <c r="M315">
        <v>46785.69</v>
      </c>
      <c r="N315">
        <v>2697</v>
      </c>
    </row>
    <row r="316" spans="1:14" x14ac:dyDescent="0.3">
      <c r="A316" t="s">
        <v>43</v>
      </c>
      <c r="B316" t="s">
        <v>48</v>
      </c>
      <c r="C316">
        <v>2023</v>
      </c>
      <c r="D316">
        <v>50901</v>
      </c>
      <c r="E316" t="s">
        <v>22</v>
      </c>
      <c r="F316">
        <v>3131.73</v>
      </c>
      <c r="G316">
        <v>422</v>
      </c>
      <c r="H316">
        <v>262.24</v>
      </c>
      <c r="I316">
        <v>159408.19</v>
      </c>
      <c r="J316">
        <v>33311</v>
      </c>
      <c r="K316">
        <v>1764</v>
      </c>
      <c r="L316">
        <v>371395</v>
      </c>
      <c r="M316">
        <v>28748.35</v>
      </c>
      <c r="N316">
        <v>4703</v>
      </c>
    </row>
    <row r="317" spans="1:14" x14ac:dyDescent="0.3">
      <c r="A317" t="s">
        <v>38</v>
      </c>
      <c r="B317" t="s">
        <v>42</v>
      </c>
      <c r="C317">
        <v>2020</v>
      </c>
      <c r="D317">
        <v>177466</v>
      </c>
      <c r="E317" t="s">
        <v>25</v>
      </c>
      <c r="F317">
        <v>1922.35</v>
      </c>
      <c r="G317">
        <v>456</v>
      </c>
      <c r="H317">
        <v>243.35</v>
      </c>
      <c r="I317">
        <v>341151.77</v>
      </c>
      <c r="J317">
        <v>12349</v>
      </c>
      <c r="K317">
        <v>2164</v>
      </c>
      <c r="L317">
        <v>171897</v>
      </c>
      <c r="M317">
        <v>39982.78</v>
      </c>
      <c r="N317">
        <v>8336</v>
      </c>
    </row>
    <row r="318" spans="1:14" x14ac:dyDescent="0.3">
      <c r="A318" t="s">
        <v>30</v>
      </c>
      <c r="B318" t="s">
        <v>31</v>
      </c>
      <c r="C318">
        <v>2024</v>
      </c>
      <c r="D318">
        <v>64175</v>
      </c>
      <c r="E318" t="s">
        <v>16</v>
      </c>
      <c r="F318">
        <v>1297.97</v>
      </c>
      <c r="G318">
        <v>59</v>
      </c>
      <c r="H318">
        <v>283.13</v>
      </c>
      <c r="I318">
        <v>83297.22</v>
      </c>
      <c r="J318">
        <v>28283</v>
      </c>
      <c r="K318">
        <v>3147</v>
      </c>
      <c r="L318">
        <v>764483</v>
      </c>
      <c r="M318">
        <v>16760.22</v>
      </c>
      <c r="N318">
        <v>6397</v>
      </c>
    </row>
    <row r="319" spans="1:14" x14ac:dyDescent="0.3">
      <c r="A319" t="s">
        <v>69</v>
      </c>
      <c r="B319" t="s">
        <v>91</v>
      </c>
      <c r="C319">
        <v>2021</v>
      </c>
      <c r="D319">
        <v>108755</v>
      </c>
      <c r="E319" t="s">
        <v>47</v>
      </c>
      <c r="F319">
        <v>1997.51</v>
      </c>
      <c r="G319">
        <v>118</v>
      </c>
      <c r="H319">
        <v>256.33</v>
      </c>
      <c r="I319">
        <v>217239.2</v>
      </c>
      <c r="J319">
        <v>5787</v>
      </c>
      <c r="K319">
        <v>1122</v>
      </c>
      <c r="L319">
        <v>528977</v>
      </c>
      <c r="M319">
        <v>11890.88</v>
      </c>
      <c r="N319">
        <v>166</v>
      </c>
    </row>
    <row r="320" spans="1:14" x14ac:dyDescent="0.3">
      <c r="A320" t="s">
        <v>20</v>
      </c>
      <c r="B320" t="s">
        <v>29</v>
      </c>
      <c r="C320">
        <v>2020</v>
      </c>
      <c r="D320">
        <v>164159</v>
      </c>
      <c r="E320" t="s">
        <v>47</v>
      </c>
      <c r="F320">
        <v>757.03</v>
      </c>
      <c r="G320">
        <v>316</v>
      </c>
      <c r="H320">
        <v>149.29</v>
      </c>
      <c r="I320">
        <v>124273.29</v>
      </c>
      <c r="J320">
        <v>16772</v>
      </c>
      <c r="K320">
        <v>1687</v>
      </c>
      <c r="L320">
        <v>300231</v>
      </c>
      <c r="M320">
        <v>17291.740000000002</v>
      </c>
      <c r="N320">
        <v>671</v>
      </c>
    </row>
    <row r="321" spans="1:14" x14ac:dyDescent="0.3">
      <c r="A321" t="s">
        <v>73</v>
      </c>
      <c r="B321" t="s">
        <v>74</v>
      </c>
      <c r="C321">
        <v>2022</v>
      </c>
      <c r="D321">
        <v>198246</v>
      </c>
      <c r="E321" t="s">
        <v>49</v>
      </c>
      <c r="F321">
        <v>4116.8999999999996</v>
      </c>
      <c r="G321">
        <v>206</v>
      </c>
      <c r="H321">
        <v>186.52</v>
      </c>
      <c r="I321">
        <v>816158.96</v>
      </c>
      <c r="J321">
        <v>5178</v>
      </c>
      <c r="K321">
        <v>1234</v>
      </c>
      <c r="L321">
        <v>72616</v>
      </c>
      <c r="M321">
        <v>107846.87</v>
      </c>
      <c r="N321">
        <v>831</v>
      </c>
    </row>
    <row r="322" spans="1:14" x14ac:dyDescent="0.3">
      <c r="A322" t="s">
        <v>40</v>
      </c>
      <c r="B322" t="s">
        <v>41</v>
      </c>
      <c r="C322">
        <v>2024</v>
      </c>
      <c r="D322">
        <v>182201</v>
      </c>
      <c r="E322" t="s">
        <v>37</v>
      </c>
      <c r="F322">
        <v>2151.33</v>
      </c>
      <c r="G322">
        <v>124</v>
      </c>
      <c r="H322">
        <v>340.35</v>
      </c>
      <c r="I322">
        <v>391974.48</v>
      </c>
      <c r="J322">
        <v>30791</v>
      </c>
      <c r="K322">
        <v>2350</v>
      </c>
      <c r="L322">
        <v>559394</v>
      </c>
      <c r="M322">
        <v>109901.16</v>
      </c>
      <c r="N322">
        <v>1615</v>
      </c>
    </row>
    <row r="323" spans="1:14" x14ac:dyDescent="0.3">
      <c r="A323" t="s">
        <v>32</v>
      </c>
      <c r="B323" t="s">
        <v>96</v>
      </c>
      <c r="C323">
        <v>2021</v>
      </c>
      <c r="D323">
        <v>147206</v>
      </c>
      <c r="E323" t="s">
        <v>25</v>
      </c>
      <c r="F323">
        <v>1144.23</v>
      </c>
      <c r="G323">
        <v>149</v>
      </c>
      <c r="H323">
        <v>219.5</v>
      </c>
      <c r="I323">
        <v>168437.52</v>
      </c>
      <c r="J323">
        <v>36186</v>
      </c>
      <c r="K323">
        <v>1667</v>
      </c>
      <c r="L323">
        <v>435134</v>
      </c>
      <c r="M323">
        <v>42631.15</v>
      </c>
      <c r="N323">
        <v>9588</v>
      </c>
    </row>
    <row r="324" spans="1:14" x14ac:dyDescent="0.3">
      <c r="A324" t="s">
        <v>40</v>
      </c>
      <c r="B324" t="s">
        <v>41</v>
      </c>
      <c r="C324">
        <v>2023</v>
      </c>
      <c r="D324">
        <v>60785</v>
      </c>
      <c r="E324" t="s">
        <v>47</v>
      </c>
      <c r="F324">
        <v>4603.18</v>
      </c>
      <c r="G324">
        <v>183</v>
      </c>
      <c r="H324">
        <v>357.14</v>
      </c>
      <c r="I324">
        <v>279804.3</v>
      </c>
      <c r="J324">
        <v>6462</v>
      </c>
      <c r="K324">
        <v>2878</v>
      </c>
      <c r="L324">
        <v>360809</v>
      </c>
      <c r="M324">
        <v>35398.54</v>
      </c>
      <c r="N324">
        <v>7190</v>
      </c>
    </row>
    <row r="325" spans="1:14" x14ac:dyDescent="0.3">
      <c r="A325" t="s">
        <v>26</v>
      </c>
      <c r="B325" t="s">
        <v>27</v>
      </c>
      <c r="C325">
        <v>2020</v>
      </c>
      <c r="D325">
        <v>165375</v>
      </c>
      <c r="E325" t="s">
        <v>47</v>
      </c>
      <c r="F325">
        <v>3480.41</v>
      </c>
      <c r="G325">
        <v>377</v>
      </c>
      <c r="H325">
        <v>442.06</v>
      </c>
      <c r="I325">
        <v>575572.80000000005</v>
      </c>
      <c r="J325">
        <v>37479</v>
      </c>
      <c r="K325">
        <v>2144</v>
      </c>
      <c r="L325">
        <v>938704</v>
      </c>
      <c r="M325">
        <v>40572.949999999997</v>
      </c>
      <c r="N325">
        <v>6480</v>
      </c>
    </row>
    <row r="326" spans="1:14" x14ac:dyDescent="0.3">
      <c r="A326" t="s">
        <v>63</v>
      </c>
      <c r="B326" t="s">
        <v>87</v>
      </c>
      <c r="C326">
        <v>2023</v>
      </c>
      <c r="D326">
        <v>100906</v>
      </c>
      <c r="E326" t="s">
        <v>37</v>
      </c>
      <c r="F326">
        <v>896.68</v>
      </c>
      <c r="G326">
        <v>172</v>
      </c>
      <c r="H326">
        <v>426.4</v>
      </c>
      <c r="I326">
        <v>90480.39</v>
      </c>
      <c r="J326">
        <v>27388</v>
      </c>
      <c r="K326">
        <v>3122</v>
      </c>
      <c r="L326">
        <v>776499</v>
      </c>
      <c r="M326">
        <v>11488.16</v>
      </c>
      <c r="N326">
        <v>6246</v>
      </c>
    </row>
    <row r="327" spans="1:14" x14ac:dyDescent="0.3">
      <c r="A327" t="s">
        <v>59</v>
      </c>
      <c r="B327" t="s">
        <v>89</v>
      </c>
      <c r="C327">
        <v>2020</v>
      </c>
      <c r="D327">
        <v>170494</v>
      </c>
      <c r="E327" t="s">
        <v>37</v>
      </c>
      <c r="F327">
        <v>4274.84</v>
      </c>
      <c r="G327">
        <v>302</v>
      </c>
      <c r="H327">
        <v>464.99</v>
      </c>
      <c r="I327">
        <v>728834.57</v>
      </c>
      <c r="J327">
        <v>35480</v>
      </c>
      <c r="K327">
        <v>4199</v>
      </c>
      <c r="L327">
        <v>228838</v>
      </c>
      <c r="M327">
        <v>92252.42</v>
      </c>
      <c r="N327">
        <v>4757</v>
      </c>
    </row>
    <row r="328" spans="1:14" x14ac:dyDescent="0.3">
      <c r="A328" t="s">
        <v>69</v>
      </c>
      <c r="B328" t="s">
        <v>91</v>
      </c>
      <c r="C328">
        <v>2022</v>
      </c>
      <c r="D328">
        <v>171635</v>
      </c>
      <c r="E328" t="s">
        <v>49</v>
      </c>
      <c r="F328">
        <v>3628.34</v>
      </c>
      <c r="G328">
        <v>410</v>
      </c>
      <c r="H328">
        <v>109.53</v>
      </c>
      <c r="I328">
        <v>622750.14</v>
      </c>
      <c r="J328">
        <v>26991</v>
      </c>
      <c r="K328">
        <v>2451</v>
      </c>
      <c r="L328">
        <v>534607</v>
      </c>
      <c r="M328">
        <v>115871.59</v>
      </c>
      <c r="N328">
        <v>9180</v>
      </c>
    </row>
    <row r="329" spans="1:14" x14ac:dyDescent="0.3">
      <c r="A329" t="s">
        <v>26</v>
      </c>
      <c r="B329" t="s">
        <v>78</v>
      </c>
      <c r="C329">
        <v>2020</v>
      </c>
      <c r="D329">
        <v>164012</v>
      </c>
      <c r="E329" t="s">
        <v>49</v>
      </c>
      <c r="F329">
        <v>2482.9899999999998</v>
      </c>
      <c r="G329">
        <v>464</v>
      </c>
      <c r="H329">
        <v>104.85</v>
      </c>
      <c r="I329">
        <v>407240.16</v>
      </c>
      <c r="J329">
        <v>26029</v>
      </c>
      <c r="K329">
        <v>4139</v>
      </c>
      <c r="L329">
        <v>192429</v>
      </c>
      <c r="M329">
        <v>63345.42</v>
      </c>
      <c r="N329">
        <v>2781</v>
      </c>
    </row>
    <row r="330" spans="1:14" x14ac:dyDescent="0.3">
      <c r="A330" t="s">
        <v>73</v>
      </c>
      <c r="B330" t="s">
        <v>74</v>
      </c>
      <c r="C330">
        <v>2023</v>
      </c>
      <c r="D330">
        <v>151503</v>
      </c>
      <c r="E330" t="s">
        <v>47</v>
      </c>
      <c r="F330">
        <v>2561.13</v>
      </c>
      <c r="G330">
        <v>179</v>
      </c>
      <c r="H330">
        <v>468.87</v>
      </c>
      <c r="I330">
        <v>388018.88</v>
      </c>
      <c r="J330">
        <v>11054</v>
      </c>
      <c r="K330">
        <v>3140</v>
      </c>
      <c r="L330">
        <v>603958</v>
      </c>
      <c r="M330">
        <v>44583.69</v>
      </c>
      <c r="N330">
        <v>6952</v>
      </c>
    </row>
    <row r="331" spans="1:14" x14ac:dyDescent="0.3">
      <c r="A331" t="s">
        <v>50</v>
      </c>
      <c r="B331" t="s">
        <v>51</v>
      </c>
      <c r="C331">
        <v>2023</v>
      </c>
      <c r="D331">
        <v>116985</v>
      </c>
      <c r="E331" t="s">
        <v>49</v>
      </c>
      <c r="F331">
        <v>501.02</v>
      </c>
      <c r="G331">
        <v>369</v>
      </c>
      <c r="H331">
        <v>176.63</v>
      </c>
      <c r="I331">
        <v>58611.82</v>
      </c>
      <c r="J331">
        <v>40489</v>
      </c>
      <c r="K331">
        <v>1945</v>
      </c>
      <c r="L331">
        <v>879690</v>
      </c>
      <c r="M331">
        <v>13539.76</v>
      </c>
      <c r="N331">
        <v>3253</v>
      </c>
    </row>
    <row r="332" spans="1:14" x14ac:dyDescent="0.3">
      <c r="A332" t="s">
        <v>20</v>
      </c>
      <c r="B332" t="s">
        <v>21</v>
      </c>
      <c r="C332">
        <v>2020</v>
      </c>
      <c r="D332">
        <v>73834</v>
      </c>
      <c r="E332" t="s">
        <v>25</v>
      </c>
      <c r="F332">
        <v>3295.99</v>
      </c>
      <c r="G332">
        <v>154</v>
      </c>
      <c r="H332">
        <v>387.22</v>
      </c>
      <c r="I332">
        <v>243356.13</v>
      </c>
      <c r="J332">
        <v>45635</v>
      </c>
      <c r="K332">
        <v>3421</v>
      </c>
      <c r="L332">
        <v>447783</v>
      </c>
      <c r="M332">
        <v>36005.199999999997</v>
      </c>
      <c r="N332">
        <v>394</v>
      </c>
    </row>
    <row r="333" spans="1:14" x14ac:dyDescent="0.3">
      <c r="A333" t="s">
        <v>61</v>
      </c>
      <c r="B333" t="s">
        <v>62</v>
      </c>
      <c r="C333">
        <v>2022</v>
      </c>
      <c r="D333">
        <v>87052</v>
      </c>
      <c r="E333" t="s">
        <v>25</v>
      </c>
      <c r="F333">
        <v>4376.51</v>
      </c>
      <c r="G333">
        <v>335</v>
      </c>
      <c r="H333">
        <v>400.12</v>
      </c>
      <c r="I333">
        <v>380983.95</v>
      </c>
      <c r="J333">
        <v>46785</v>
      </c>
      <c r="K333">
        <v>2618</v>
      </c>
      <c r="L333">
        <v>384071</v>
      </c>
      <c r="M333">
        <v>72618.34</v>
      </c>
      <c r="N333">
        <v>8343</v>
      </c>
    </row>
    <row r="334" spans="1:14" x14ac:dyDescent="0.3">
      <c r="A334" t="s">
        <v>43</v>
      </c>
      <c r="B334" t="s">
        <v>58</v>
      </c>
      <c r="C334">
        <v>2024</v>
      </c>
      <c r="D334">
        <v>81601</v>
      </c>
      <c r="E334" t="s">
        <v>37</v>
      </c>
      <c r="F334">
        <v>3678.67</v>
      </c>
      <c r="G334">
        <v>300</v>
      </c>
      <c r="H334">
        <v>196.65</v>
      </c>
      <c r="I334">
        <v>300183.15000000002</v>
      </c>
      <c r="J334">
        <v>12465</v>
      </c>
      <c r="K334">
        <v>3238</v>
      </c>
      <c r="L334">
        <v>946197</v>
      </c>
      <c r="M334">
        <v>77111.320000000007</v>
      </c>
      <c r="N334">
        <v>4731</v>
      </c>
    </row>
    <row r="335" spans="1:14" x14ac:dyDescent="0.3">
      <c r="A335" t="s">
        <v>69</v>
      </c>
      <c r="B335" t="s">
        <v>70</v>
      </c>
      <c r="C335">
        <v>2020</v>
      </c>
      <c r="D335">
        <v>94462</v>
      </c>
      <c r="E335" t="s">
        <v>25</v>
      </c>
      <c r="F335">
        <v>2426.6999999999998</v>
      </c>
      <c r="G335">
        <v>365</v>
      </c>
      <c r="H335">
        <v>237.83</v>
      </c>
      <c r="I335">
        <v>229230.94</v>
      </c>
      <c r="J335">
        <v>27813</v>
      </c>
      <c r="K335">
        <v>3783</v>
      </c>
      <c r="L335">
        <v>68557</v>
      </c>
      <c r="M335">
        <v>30382.04</v>
      </c>
      <c r="N335">
        <v>3930</v>
      </c>
    </row>
    <row r="336" spans="1:14" x14ac:dyDescent="0.3">
      <c r="A336" t="s">
        <v>14</v>
      </c>
      <c r="B336" t="s">
        <v>28</v>
      </c>
      <c r="C336">
        <v>2022</v>
      </c>
      <c r="D336">
        <v>91081</v>
      </c>
      <c r="E336" t="s">
        <v>49</v>
      </c>
      <c r="F336">
        <v>1941.81</v>
      </c>
      <c r="G336">
        <v>159</v>
      </c>
      <c r="H336">
        <v>462.11</v>
      </c>
      <c r="I336">
        <v>176862</v>
      </c>
      <c r="J336">
        <v>33610</v>
      </c>
      <c r="K336">
        <v>2005</v>
      </c>
      <c r="L336">
        <v>74354</v>
      </c>
      <c r="M336">
        <v>10732.85</v>
      </c>
      <c r="N336">
        <v>9188</v>
      </c>
    </row>
    <row r="337" spans="1:14" x14ac:dyDescent="0.3">
      <c r="A337" t="s">
        <v>38</v>
      </c>
      <c r="B337" t="s">
        <v>42</v>
      </c>
      <c r="C337">
        <v>2021</v>
      </c>
      <c r="D337">
        <v>105514</v>
      </c>
      <c r="E337" t="s">
        <v>25</v>
      </c>
      <c r="F337">
        <v>1125.51</v>
      </c>
      <c r="G337">
        <v>103</v>
      </c>
      <c r="H337">
        <v>55.95</v>
      </c>
      <c r="I337">
        <v>118757.06</v>
      </c>
      <c r="J337">
        <v>7895</v>
      </c>
      <c r="K337">
        <v>4183</v>
      </c>
      <c r="L337">
        <v>154127</v>
      </c>
      <c r="M337">
        <v>30271.91</v>
      </c>
      <c r="N337">
        <v>6066</v>
      </c>
    </row>
    <row r="338" spans="1:14" x14ac:dyDescent="0.3">
      <c r="A338" t="s">
        <v>63</v>
      </c>
      <c r="B338" t="s">
        <v>95</v>
      </c>
      <c r="C338">
        <v>2024</v>
      </c>
      <c r="D338">
        <v>59196</v>
      </c>
      <c r="E338" t="s">
        <v>16</v>
      </c>
      <c r="F338">
        <v>2950.5</v>
      </c>
      <c r="G338">
        <v>196</v>
      </c>
      <c r="H338">
        <v>365.42</v>
      </c>
      <c r="I338">
        <v>174657.8</v>
      </c>
      <c r="J338">
        <v>29700</v>
      </c>
      <c r="K338">
        <v>3199</v>
      </c>
      <c r="L338">
        <v>281237</v>
      </c>
      <c r="M338">
        <v>26687.89</v>
      </c>
      <c r="N338">
        <v>8181</v>
      </c>
    </row>
    <row r="339" spans="1:14" x14ac:dyDescent="0.3">
      <c r="A339" t="s">
        <v>53</v>
      </c>
      <c r="B339" t="s">
        <v>81</v>
      </c>
      <c r="C339">
        <v>2023</v>
      </c>
      <c r="D339">
        <v>64380</v>
      </c>
      <c r="E339" t="s">
        <v>25</v>
      </c>
      <c r="F339">
        <v>4778.68</v>
      </c>
      <c r="G339">
        <v>384</v>
      </c>
      <c r="H339">
        <v>479.13</v>
      </c>
      <c r="I339">
        <v>307651.42</v>
      </c>
      <c r="J339">
        <v>11937</v>
      </c>
      <c r="K339">
        <v>1047</v>
      </c>
      <c r="L339">
        <v>650684</v>
      </c>
      <c r="M339">
        <v>24290.85</v>
      </c>
      <c r="N339">
        <v>5043</v>
      </c>
    </row>
    <row r="340" spans="1:14" x14ac:dyDescent="0.3">
      <c r="A340" t="s">
        <v>17</v>
      </c>
      <c r="B340" t="s">
        <v>36</v>
      </c>
      <c r="C340">
        <v>2022</v>
      </c>
      <c r="D340">
        <v>58997</v>
      </c>
      <c r="E340" t="s">
        <v>16</v>
      </c>
      <c r="F340">
        <v>3988.56</v>
      </c>
      <c r="G340">
        <v>128</v>
      </c>
      <c r="H340">
        <v>332.85</v>
      </c>
      <c r="I340">
        <v>235313.07</v>
      </c>
      <c r="J340">
        <v>40228</v>
      </c>
      <c r="K340">
        <v>3228</v>
      </c>
      <c r="L340">
        <v>766438</v>
      </c>
      <c r="M340">
        <v>60354.33</v>
      </c>
      <c r="N340">
        <v>3744</v>
      </c>
    </row>
    <row r="341" spans="1:14" x14ac:dyDescent="0.3">
      <c r="A341" t="s">
        <v>26</v>
      </c>
      <c r="B341" t="s">
        <v>78</v>
      </c>
      <c r="C341">
        <v>2023</v>
      </c>
      <c r="D341">
        <v>133123</v>
      </c>
      <c r="E341" t="s">
        <v>49</v>
      </c>
      <c r="F341">
        <v>2101.81</v>
      </c>
      <c r="G341">
        <v>275</v>
      </c>
      <c r="H341">
        <v>359.96</v>
      </c>
      <c r="I341">
        <v>279799.25</v>
      </c>
      <c r="J341">
        <v>12099</v>
      </c>
      <c r="K341">
        <v>2621</v>
      </c>
      <c r="L341">
        <v>967106</v>
      </c>
      <c r="M341">
        <v>34967.74</v>
      </c>
      <c r="N341">
        <v>766</v>
      </c>
    </row>
    <row r="342" spans="1:14" x14ac:dyDescent="0.3">
      <c r="A342" t="s">
        <v>23</v>
      </c>
      <c r="B342" t="s">
        <v>24</v>
      </c>
      <c r="C342">
        <v>2024</v>
      </c>
      <c r="D342">
        <v>132203</v>
      </c>
      <c r="E342" t="s">
        <v>16</v>
      </c>
      <c r="F342">
        <v>2610.6799999999998</v>
      </c>
      <c r="G342">
        <v>179</v>
      </c>
      <c r="H342">
        <v>220.2</v>
      </c>
      <c r="I342">
        <v>345139.73</v>
      </c>
      <c r="J342">
        <v>27641</v>
      </c>
      <c r="K342">
        <v>4172</v>
      </c>
      <c r="L342">
        <v>188454</v>
      </c>
      <c r="M342">
        <v>23493.4</v>
      </c>
      <c r="N342">
        <v>2323</v>
      </c>
    </row>
    <row r="343" spans="1:14" x14ac:dyDescent="0.3">
      <c r="A343" t="s">
        <v>30</v>
      </c>
      <c r="B343" t="s">
        <v>31</v>
      </c>
      <c r="C343">
        <v>2022</v>
      </c>
      <c r="D343">
        <v>136442</v>
      </c>
      <c r="E343" t="s">
        <v>19</v>
      </c>
      <c r="F343">
        <v>1409.67</v>
      </c>
      <c r="G343">
        <v>415</v>
      </c>
      <c r="H343">
        <v>184.09</v>
      </c>
      <c r="I343">
        <v>192338.19</v>
      </c>
      <c r="J343">
        <v>36376</v>
      </c>
      <c r="K343">
        <v>3701</v>
      </c>
      <c r="L343">
        <v>284847</v>
      </c>
      <c r="M343">
        <v>15543.21</v>
      </c>
      <c r="N343">
        <v>2515</v>
      </c>
    </row>
    <row r="344" spans="1:14" x14ac:dyDescent="0.3">
      <c r="A344" t="s">
        <v>63</v>
      </c>
      <c r="B344" t="s">
        <v>95</v>
      </c>
      <c r="C344">
        <v>2021</v>
      </c>
      <c r="D344">
        <v>141229</v>
      </c>
      <c r="E344" t="s">
        <v>19</v>
      </c>
      <c r="F344">
        <v>3837.05</v>
      </c>
      <c r="G344">
        <v>232</v>
      </c>
      <c r="H344">
        <v>177.07</v>
      </c>
      <c r="I344">
        <v>541902.73</v>
      </c>
      <c r="J344">
        <v>30161</v>
      </c>
      <c r="K344">
        <v>2821</v>
      </c>
      <c r="L344">
        <v>522617</v>
      </c>
      <c r="M344">
        <v>151257.13</v>
      </c>
      <c r="N344">
        <v>9026</v>
      </c>
    </row>
    <row r="345" spans="1:14" x14ac:dyDescent="0.3">
      <c r="A345" t="s">
        <v>20</v>
      </c>
      <c r="B345" t="s">
        <v>29</v>
      </c>
      <c r="C345">
        <v>2020</v>
      </c>
      <c r="D345">
        <v>104675</v>
      </c>
      <c r="E345" t="s">
        <v>47</v>
      </c>
      <c r="F345">
        <v>3105.34</v>
      </c>
      <c r="G345">
        <v>254</v>
      </c>
      <c r="H345">
        <v>165.68</v>
      </c>
      <c r="I345">
        <v>325051.46000000002</v>
      </c>
      <c r="J345">
        <v>45718</v>
      </c>
      <c r="K345">
        <v>2794</v>
      </c>
      <c r="L345">
        <v>87394</v>
      </c>
      <c r="M345">
        <v>55858.83</v>
      </c>
      <c r="N345">
        <v>5699</v>
      </c>
    </row>
    <row r="346" spans="1:14" x14ac:dyDescent="0.3">
      <c r="A346" t="s">
        <v>63</v>
      </c>
      <c r="B346" t="s">
        <v>95</v>
      </c>
      <c r="C346">
        <v>2024</v>
      </c>
      <c r="D346">
        <v>199172</v>
      </c>
      <c r="E346" t="s">
        <v>22</v>
      </c>
      <c r="F346">
        <v>4627.49</v>
      </c>
      <c r="G346">
        <v>466</v>
      </c>
      <c r="H346">
        <v>243.89</v>
      </c>
      <c r="I346">
        <v>921666.44</v>
      </c>
      <c r="J346">
        <v>32454</v>
      </c>
      <c r="K346">
        <v>1165</v>
      </c>
      <c r="L346">
        <v>987314</v>
      </c>
      <c r="M346">
        <v>228408.37</v>
      </c>
      <c r="N346">
        <v>1312</v>
      </c>
    </row>
    <row r="347" spans="1:14" x14ac:dyDescent="0.3">
      <c r="A347" t="s">
        <v>34</v>
      </c>
      <c r="B347" t="s">
        <v>94</v>
      </c>
      <c r="C347">
        <v>2022</v>
      </c>
      <c r="D347">
        <v>106117</v>
      </c>
      <c r="E347" t="s">
        <v>16</v>
      </c>
      <c r="F347">
        <v>730.69</v>
      </c>
      <c r="G347">
        <v>193</v>
      </c>
      <c r="H347">
        <v>252.66</v>
      </c>
      <c r="I347">
        <v>77538.63</v>
      </c>
      <c r="J347">
        <v>8228</v>
      </c>
      <c r="K347">
        <v>3705</v>
      </c>
      <c r="L347">
        <v>349155</v>
      </c>
      <c r="M347">
        <v>18403.2</v>
      </c>
      <c r="N347">
        <v>4733</v>
      </c>
    </row>
    <row r="348" spans="1:14" x14ac:dyDescent="0.3">
      <c r="A348" t="s">
        <v>32</v>
      </c>
      <c r="B348" t="s">
        <v>33</v>
      </c>
      <c r="C348">
        <v>2021</v>
      </c>
      <c r="D348">
        <v>102344</v>
      </c>
      <c r="E348" t="s">
        <v>19</v>
      </c>
      <c r="F348">
        <v>1472.14</v>
      </c>
      <c r="G348">
        <v>302</v>
      </c>
      <c r="H348">
        <v>228.1</v>
      </c>
      <c r="I348">
        <v>150664.70000000001</v>
      </c>
      <c r="J348">
        <v>39305</v>
      </c>
      <c r="K348">
        <v>3857</v>
      </c>
      <c r="L348">
        <v>514432</v>
      </c>
      <c r="M348">
        <v>27309.84</v>
      </c>
      <c r="N348">
        <v>7167</v>
      </c>
    </row>
    <row r="349" spans="1:14" x14ac:dyDescent="0.3">
      <c r="A349" t="s">
        <v>73</v>
      </c>
      <c r="B349" t="s">
        <v>75</v>
      </c>
      <c r="C349">
        <v>2021</v>
      </c>
      <c r="D349">
        <v>169779</v>
      </c>
      <c r="E349" t="s">
        <v>25</v>
      </c>
      <c r="F349">
        <v>599.39</v>
      </c>
      <c r="G349">
        <v>254</v>
      </c>
      <c r="H349">
        <v>348.49</v>
      </c>
      <c r="I349">
        <v>101763.83</v>
      </c>
      <c r="J349">
        <v>20613</v>
      </c>
      <c r="K349">
        <v>1799</v>
      </c>
      <c r="L349">
        <v>432650</v>
      </c>
      <c r="M349">
        <v>17614.36</v>
      </c>
      <c r="N349">
        <v>2821</v>
      </c>
    </row>
    <row r="350" spans="1:14" x14ac:dyDescent="0.3">
      <c r="A350" t="s">
        <v>23</v>
      </c>
      <c r="B350" t="s">
        <v>88</v>
      </c>
      <c r="C350">
        <v>2021</v>
      </c>
      <c r="D350">
        <v>127355</v>
      </c>
      <c r="E350" t="s">
        <v>37</v>
      </c>
      <c r="F350">
        <v>807.98</v>
      </c>
      <c r="G350">
        <v>327</v>
      </c>
      <c r="H350">
        <v>98.67</v>
      </c>
      <c r="I350">
        <v>102900.29</v>
      </c>
      <c r="J350">
        <v>25659</v>
      </c>
      <c r="K350">
        <v>3622</v>
      </c>
      <c r="L350">
        <v>418615</v>
      </c>
      <c r="M350">
        <v>27128.31</v>
      </c>
      <c r="N350">
        <v>915</v>
      </c>
    </row>
    <row r="351" spans="1:14" x14ac:dyDescent="0.3">
      <c r="A351" t="s">
        <v>69</v>
      </c>
      <c r="B351" t="s">
        <v>91</v>
      </c>
      <c r="C351">
        <v>2020</v>
      </c>
      <c r="D351">
        <v>110038</v>
      </c>
      <c r="E351" t="s">
        <v>37</v>
      </c>
      <c r="F351">
        <v>1318.18</v>
      </c>
      <c r="G351">
        <v>427</v>
      </c>
      <c r="H351">
        <v>382.94</v>
      </c>
      <c r="I351">
        <v>145049.89000000001</v>
      </c>
      <c r="J351">
        <v>31292</v>
      </c>
      <c r="K351">
        <v>3842</v>
      </c>
      <c r="L351">
        <v>764114</v>
      </c>
      <c r="M351">
        <v>14930.92</v>
      </c>
      <c r="N351">
        <v>8107</v>
      </c>
    </row>
    <row r="352" spans="1:14" x14ac:dyDescent="0.3">
      <c r="A352" t="s">
        <v>30</v>
      </c>
      <c r="B352" t="s">
        <v>31</v>
      </c>
      <c r="C352">
        <v>2021</v>
      </c>
      <c r="D352">
        <v>84409</v>
      </c>
      <c r="E352" t="s">
        <v>37</v>
      </c>
      <c r="F352">
        <v>2459.2800000000002</v>
      </c>
      <c r="G352">
        <v>63</v>
      </c>
      <c r="H352">
        <v>363.29</v>
      </c>
      <c r="I352">
        <v>207585.37</v>
      </c>
      <c r="J352">
        <v>5363</v>
      </c>
      <c r="K352">
        <v>1045</v>
      </c>
      <c r="L352">
        <v>446456</v>
      </c>
      <c r="M352">
        <v>15640.51</v>
      </c>
      <c r="N352">
        <v>9162</v>
      </c>
    </row>
    <row r="353" spans="1:14" x14ac:dyDescent="0.3">
      <c r="A353" t="s">
        <v>26</v>
      </c>
      <c r="B353" t="s">
        <v>27</v>
      </c>
      <c r="C353">
        <v>2024</v>
      </c>
      <c r="D353">
        <v>175865</v>
      </c>
      <c r="E353" t="s">
        <v>47</v>
      </c>
      <c r="F353">
        <v>2208.8200000000002</v>
      </c>
      <c r="G353">
        <v>181</v>
      </c>
      <c r="H353">
        <v>312.20999999999998</v>
      </c>
      <c r="I353">
        <v>388454.13</v>
      </c>
      <c r="J353">
        <v>37786</v>
      </c>
      <c r="K353">
        <v>829</v>
      </c>
      <c r="L353">
        <v>755377</v>
      </c>
      <c r="M353">
        <v>51313.38</v>
      </c>
      <c r="N353">
        <v>2667</v>
      </c>
    </row>
    <row r="354" spans="1:14" x14ac:dyDescent="0.3">
      <c r="A354" t="s">
        <v>50</v>
      </c>
      <c r="B354" t="s">
        <v>51</v>
      </c>
      <c r="C354">
        <v>2020</v>
      </c>
      <c r="D354">
        <v>197193</v>
      </c>
      <c r="E354" t="s">
        <v>49</v>
      </c>
      <c r="F354">
        <v>2836.91</v>
      </c>
      <c r="G354">
        <v>261</v>
      </c>
      <c r="H354">
        <v>165.87</v>
      </c>
      <c r="I354">
        <v>559418.79</v>
      </c>
      <c r="J354">
        <v>28331</v>
      </c>
      <c r="K354">
        <v>2800</v>
      </c>
      <c r="L354">
        <v>498013</v>
      </c>
      <c r="M354">
        <v>132855.48000000001</v>
      </c>
      <c r="N354">
        <v>7098</v>
      </c>
    </row>
    <row r="355" spans="1:14" x14ac:dyDescent="0.3">
      <c r="A355" t="s">
        <v>50</v>
      </c>
      <c r="B355" t="s">
        <v>86</v>
      </c>
      <c r="C355">
        <v>2021</v>
      </c>
      <c r="D355">
        <v>63440</v>
      </c>
      <c r="E355" t="s">
        <v>22</v>
      </c>
      <c r="F355">
        <v>4263.87</v>
      </c>
      <c r="G355">
        <v>135</v>
      </c>
      <c r="H355">
        <v>201.35</v>
      </c>
      <c r="I355">
        <v>270499.90999999997</v>
      </c>
      <c r="J355">
        <v>20734</v>
      </c>
      <c r="K355">
        <v>2180</v>
      </c>
      <c r="L355">
        <v>844865</v>
      </c>
      <c r="M355">
        <v>35476.68</v>
      </c>
      <c r="N355">
        <v>6300</v>
      </c>
    </row>
    <row r="356" spans="1:14" x14ac:dyDescent="0.3">
      <c r="A356" t="s">
        <v>43</v>
      </c>
      <c r="B356" t="s">
        <v>48</v>
      </c>
      <c r="C356">
        <v>2020</v>
      </c>
      <c r="D356">
        <v>98570</v>
      </c>
      <c r="E356" t="s">
        <v>22</v>
      </c>
      <c r="F356">
        <v>3875.69</v>
      </c>
      <c r="G356">
        <v>353</v>
      </c>
      <c r="H356">
        <v>101.41</v>
      </c>
      <c r="I356">
        <v>382026.76</v>
      </c>
      <c r="J356">
        <v>22400</v>
      </c>
      <c r="K356">
        <v>4365</v>
      </c>
      <c r="L356">
        <v>861032</v>
      </c>
      <c r="M356">
        <v>22583.61</v>
      </c>
      <c r="N356">
        <v>2723</v>
      </c>
    </row>
    <row r="357" spans="1:14" x14ac:dyDescent="0.3">
      <c r="A357" t="s">
        <v>61</v>
      </c>
      <c r="B357" t="s">
        <v>62</v>
      </c>
      <c r="C357">
        <v>2023</v>
      </c>
      <c r="D357">
        <v>189718</v>
      </c>
      <c r="E357" t="s">
        <v>37</v>
      </c>
      <c r="F357">
        <v>4297.97</v>
      </c>
      <c r="G357">
        <v>466</v>
      </c>
      <c r="H357">
        <v>226.97</v>
      </c>
      <c r="I357">
        <v>815402.27</v>
      </c>
      <c r="J357">
        <v>25914</v>
      </c>
      <c r="K357">
        <v>4997</v>
      </c>
      <c r="L357">
        <v>699837</v>
      </c>
      <c r="M357">
        <v>166590.68</v>
      </c>
      <c r="N357">
        <v>8468</v>
      </c>
    </row>
    <row r="358" spans="1:14" x14ac:dyDescent="0.3">
      <c r="A358" t="s">
        <v>43</v>
      </c>
      <c r="B358" t="s">
        <v>48</v>
      </c>
      <c r="C358">
        <v>2020</v>
      </c>
      <c r="D358">
        <v>164826</v>
      </c>
      <c r="E358" t="s">
        <v>16</v>
      </c>
      <c r="F358">
        <v>3040.88</v>
      </c>
      <c r="G358">
        <v>62</v>
      </c>
      <c r="H358">
        <v>365.39</v>
      </c>
      <c r="I358">
        <v>501216.09</v>
      </c>
      <c r="J358">
        <v>21195</v>
      </c>
      <c r="K358">
        <v>1453</v>
      </c>
      <c r="L358">
        <v>944230</v>
      </c>
      <c r="M358">
        <v>46332.32</v>
      </c>
      <c r="N358">
        <v>4252</v>
      </c>
    </row>
    <row r="359" spans="1:14" x14ac:dyDescent="0.3">
      <c r="A359" t="s">
        <v>43</v>
      </c>
      <c r="B359" t="s">
        <v>48</v>
      </c>
      <c r="C359">
        <v>2023</v>
      </c>
      <c r="D359">
        <v>146367</v>
      </c>
      <c r="E359" t="s">
        <v>47</v>
      </c>
      <c r="F359">
        <v>2958.83</v>
      </c>
      <c r="G359">
        <v>334</v>
      </c>
      <c r="H359">
        <v>149.13999999999999</v>
      </c>
      <c r="I359">
        <v>433075.07</v>
      </c>
      <c r="J359">
        <v>7663</v>
      </c>
      <c r="K359">
        <v>1773</v>
      </c>
      <c r="L359">
        <v>315470</v>
      </c>
      <c r="M359">
        <v>23389.1</v>
      </c>
      <c r="N359">
        <v>5192</v>
      </c>
    </row>
    <row r="360" spans="1:14" x14ac:dyDescent="0.3">
      <c r="A360" t="s">
        <v>63</v>
      </c>
      <c r="B360" t="s">
        <v>87</v>
      </c>
      <c r="C360">
        <v>2022</v>
      </c>
      <c r="D360">
        <v>95337</v>
      </c>
      <c r="E360" t="s">
        <v>19</v>
      </c>
      <c r="F360">
        <v>2056.36</v>
      </c>
      <c r="G360">
        <v>303</v>
      </c>
      <c r="H360">
        <v>394.86</v>
      </c>
      <c r="I360">
        <v>196047.19</v>
      </c>
      <c r="J360">
        <v>48790</v>
      </c>
      <c r="K360">
        <v>3901</v>
      </c>
      <c r="L360">
        <v>970396</v>
      </c>
      <c r="M360">
        <v>25300.63</v>
      </c>
      <c r="N360">
        <v>8546</v>
      </c>
    </row>
    <row r="361" spans="1:14" x14ac:dyDescent="0.3">
      <c r="A361" t="s">
        <v>34</v>
      </c>
      <c r="B361" t="s">
        <v>35</v>
      </c>
      <c r="C361">
        <v>2022</v>
      </c>
      <c r="D361">
        <v>152127</v>
      </c>
      <c r="E361" t="s">
        <v>19</v>
      </c>
      <c r="F361">
        <v>2178.5</v>
      </c>
      <c r="G361">
        <v>157</v>
      </c>
      <c r="H361">
        <v>327.48</v>
      </c>
      <c r="I361">
        <v>331408.67</v>
      </c>
      <c r="J361">
        <v>25900</v>
      </c>
      <c r="K361">
        <v>1508</v>
      </c>
      <c r="L361">
        <v>201770</v>
      </c>
      <c r="M361">
        <v>33638.449999999997</v>
      </c>
      <c r="N361">
        <v>4811</v>
      </c>
    </row>
    <row r="362" spans="1:14" x14ac:dyDescent="0.3">
      <c r="A362" t="s">
        <v>34</v>
      </c>
      <c r="B362" t="s">
        <v>65</v>
      </c>
      <c r="C362">
        <v>2021</v>
      </c>
      <c r="D362">
        <v>106116</v>
      </c>
      <c r="E362" t="s">
        <v>47</v>
      </c>
      <c r="F362">
        <v>539.5</v>
      </c>
      <c r="G362">
        <v>305</v>
      </c>
      <c r="H362">
        <v>448.36</v>
      </c>
      <c r="I362">
        <v>57249.58</v>
      </c>
      <c r="J362">
        <v>31331</v>
      </c>
      <c r="K362">
        <v>4408</v>
      </c>
      <c r="L362">
        <v>667397</v>
      </c>
      <c r="M362">
        <v>11753.14</v>
      </c>
      <c r="N362">
        <v>2765</v>
      </c>
    </row>
    <row r="363" spans="1:14" x14ac:dyDescent="0.3">
      <c r="A363" t="s">
        <v>61</v>
      </c>
      <c r="B363" t="s">
        <v>62</v>
      </c>
      <c r="C363">
        <v>2021</v>
      </c>
      <c r="D363">
        <v>133308</v>
      </c>
      <c r="E363" t="s">
        <v>47</v>
      </c>
      <c r="F363">
        <v>2135.3200000000002</v>
      </c>
      <c r="G363">
        <v>373</v>
      </c>
      <c r="H363">
        <v>332.83</v>
      </c>
      <c r="I363">
        <v>284655.24</v>
      </c>
      <c r="J363">
        <v>33742</v>
      </c>
      <c r="K363">
        <v>1723</v>
      </c>
      <c r="L363">
        <v>397236</v>
      </c>
      <c r="M363">
        <v>28807.279999999999</v>
      </c>
      <c r="N363">
        <v>3766</v>
      </c>
    </row>
    <row r="364" spans="1:14" x14ac:dyDescent="0.3">
      <c r="A364" t="s">
        <v>63</v>
      </c>
      <c r="B364" t="s">
        <v>87</v>
      </c>
      <c r="C364">
        <v>2021</v>
      </c>
      <c r="D364">
        <v>87045</v>
      </c>
      <c r="E364" t="s">
        <v>47</v>
      </c>
      <c r="F364">
        <v>1870.21</v>
      </c>
      <c r="G364">
        <v>451</v>
      </c>
      <c r="H364">
        <v>71.150000000000006</v>
      </c>
      <c r="I364">
        <v>162792.43</v>
      </c>
      <c r="J364">
        <v>34475</v>
      </c>
      <c r="K364">
        <v>3519</v>
      </c>
      <c r="L364">
        <v>53681</v>
      </c>
      <c r="M364">
        <v>25824.21</v>
      </c>
      <c r="N364">
        <v>8517</v>
      </c>
    </row>
    <row r="365" spans="1:14" x14ac:dyDescent="0.3">
      <c r="A365" t="s">
        <v>23</v>
      </c>
      <c r="B365" t="s">
        <v>88</v>
      </c>
      <c r="C365">
        <v>2023</v>
      </c>
      <c r="D365">
        <v>168888</v>
      </c>
      <c r="E365" t="s">
        <v>22</v>
      </c>
      <c r="F365">
        <v>2701.52</v>
      </c>
      <c r="G365">
        <v>483</v>
      </c>
      <c r="H365">
        <v>384.07</v>
      </c>
      <c r="I365">
        <v>456254.31</v>
      </c>
      <c r="J365">
        <v>41175</v>
      </c>
      <c r="K365">
        <v>3640</v>
      </c>
      <c r="L365">
        <v>829105</v>
      </c>
      <c r="M365">
        <v>41977.68</v>
      </c>
      <c r="N365">
        <v>8198</v>
      </c>
    </row>
    <row r="366" spans="1:14" x14ac:dyDescent="0.3">
      <c r="A366" t="s">
        <v>61</v>
      </c>
      <c r="B366" t="s">
        <v>68</v>
      </c>
      <c r="C366">
        <v>2022</v>
      </c>
      <c r="D366">
        <v>78333</v>
      </c>
      <c r="E366" t="s">
        <v>22</v>
      </c>
      <c r="F366">
        <v>1182.8399999999999</v>
      </c>
      <c r="G366">
        <v>343</v>
      </c>
      <c r="H366">
        <v>408.05</v>
      </c>
      <c r="I366">
        <v>92655.41</v>
      </c>
      <c r="J366">
        <v>13624</v>
      </c>
      <c r="K366">
        <v>1335</v>
      </c>
      <c r="L366">
        <v>330790</v>
      </c>
      <c r="M366">
        <v>20655.669999999998</v>
      </c>
      <c r="N366">
        <v>5387</v>
      </c>
    </row>
    <row r="367" spans="1:14" x14ac:dyDescent="0.3">
      <c r="A367" t="s">
        <v>45</v>
      </c>
      <c r="B367" t="s">
        <v>79</v>
      </c>
      <c r="C367">
        <v>2023</v>
      </c>
      <c r="D367">
        <v>141186</v>
      </c>
      <c r="E367" t="s">
        <v>47</v>
      </c>
      <c r="F367">
        <v>4355.76</v>
      </c>
      <c r="G367">
        <v>129</v>
      </c>
      <c r="H367">
        <v>291.27</v>
      </c>
      <c r="I367">
        <v>614972.32999999996</v>
      </c>
      <c r="J367">
        <v>10580</v>
      </c>
      <c r="K367">
        <v>3991</v>
      </c>
      <c r="L367">
        <v>443922</v>
      </c>
      <c r="M367">
        <v>43543.59</v>
      </c>
      <c r="N367">
        <v>1434</v>
      </c>
    </row>
    <row r="368" spans="1:14" x14ac:dyDescent="0.3">
      <c r="A368" t="s">
        <v>56</v>
      </c>
      <c r="B368" t="s">
        <v>76</v>
      </c>
      <c r="C368">
        <v>2020</v>
      </c>
      <c r="D368">
        <v>137508</v>
      </c>
      <c r="E368" t="s">
        <v>25</v>
      </c>
      <c r="F368">
        <v>4449.87</v>
      </c>
      <c r="G368">
        <v>392</v>
      </c>
      <c r="H368">
        <v>121.3</v>
      </c>
      <c r="I368">
        <v>611892.72</v>
      </c>
      <c r="J368">
        <v>49115</v>
      </c>
      <c r="K368">
        <v>664</v>
      </c>
      <c r="L368">
        <v>417508</v>
      </c>
      <c r="M368">
        <v>102401.29</v>
      </c>
      <c r="N368">
        <v>4257</v>
      </c>
    </row>
    <row r="369" spans="1:14" x14ac:dyDescent="0.3">
      <c r="A369" t="s">
        <v>59</v>
      </c>
      <c r="B369" t="s">
        <v>89</v>
      </c>
      <c r="C369">
        <v>2023</v>
      </c>
      <c r="D369">
        <v>77043</v>
      </c>
      <c r="E369" t="s">
        <v>49</v>
      </c>
      <c r="F369">
        <v>4010.22</v>
      </c>
      <c r="G369">
        <v>56</v>
      </c>
      <c r="H369">
        <v>54.29</v>
      </c>
      <c r="I369">
        <v>308959.38</v>
      </c>
      <c r="J369">
        <v>19017</v>
      </c>
      <c r="K369">
        <v>3539</v>
      </c>
      <c r="L369">
        <v>578425</v>
      </c>
      <c r="M369">
        <v>19501.650000000001</v>
      </c>
      <c r="N369">
        <v>2838</v>
      </c>
    </row>
    <row r="370" spans="1:14" x14ac:dyDescent="0.3">
      <c r="A370" t="s">
        <v>59</v>
      </c>
      <c r="B370" t="s">
        <v>83</v>
      </c>
      <c r="C370">
        <v>2024</v>
      </c>
      <c r="D370">
        <v>73956</v>
      </c>
      <c r="E370" t="s">
        <v>47</v>
      </c>
      <c r="F370">
        <v>3742.06</v>
      </c>
      <c r="G370">
        <v>134</v>
      </c>
      <c r="H370">
        <v>394.64</v>
      </c>
      <c r="I370">
        <v>276747.78999999998</v>
      </c>
      <c r="J370">
        <v>25528</v>
      </c>
      <c r="K370">
        <v>4664</v>
      </c>
      <c r="L370">
        <v>741257</v>
      </c>
      <c r="M370">
        <v>46197.55</v>
      </c>
      <c r="N370">
        <v>3655</v>
      </c>
    </row>
    <row r="371" spans="1:14" x14ac:dyDescent="0.3">
      <c r="A371" t="s">
        <v>69</v>
      </c>
      <c r="B371" t="s">
        <v>91</v>
      </c>
      <c r="C371">
        <v>2020</v>
      </c>
      <c r="D371">
        <v>115184</v>
      </c>
      <c r="E371" t="s">
        <v>19</v>
      </c>
      <c r="F371">
        <v>3242.78</v>
      </c>
      <c r="G371">
        <v>92</v>
      </c>
      <c r="H371">
        <v>290.99</v>
      </c>
      <c r="I371">
        <v>373516.37</v>
      </c>
      <c r="J371">
        <v>43265</v>
      </c>
      <c r="K371">
        <v>761</v>
      </c>
      <c r="L371">
        <v>797320</v>
      </c>
      <c r="M371">
        <v>50034.05</v>
      </c>
      <c r="N371">
        <v>9274</v>
      </c>
    </row>
    <row r="372" spans="1:14" x14ac:dyDescent="0.3">
      <c r="A372" t="s">
        <v>45</v>
      </c>
      <c r="B372" t="s">
        <v>80</v>
      </c>
      <c r="C372">
        <v>2023</v>
      </c>
      <c r="D372">
        <v>184515</v>
      </c>
      <c r="E372" t="s">
        <v>16</v>
      </c>
      <c r="F372">
        <v>1754.12</v>
      </c>
      <c r="G372">
        <v>169</v>
      </c>
      <c r="H372">
        <v>262.51</v>
      </c>
      <c r="I372">
        <v>323661.45</v>
      </c>
      <c r="J372">
        <v>19254</v>
      </c>
      <c r="K372">
        <v>4614</v>
      </c>
      <c r="L372">
        <v>837839</v>
      </c>
      <c r="M372">
        <v>63731.12</v>
      </c>
      <c r="N372">
        <v>9468</v>
      </c>
    </row>
    <row r="373" spans="1:14" x14ac:dyDescent="0.3">
      <c r="A373" t="s">
        <v>23</v>
      </c>
      <c r="B373" t="s">
        <v>24</v>
      </c>
      <c r="C373">
        <v>2022</v>
      </c>
      <c r="D373">
        <v>169020</v>
      </c>
      <c r="E373" t="s">
        <v>47</v>
      </c>
      <c r="F373">
        <v>1664.57</v>
      </c>
      <c r="G373">
        <v>158</v>
      </c>
      <c r="H373">
        <v>441.36</v>
      </c>
      <c r="I373">
        <v>281345.62</v>
      </c>
      <c r="J373">
        <v>29502</v>
      </c>
      <c r="K373">
        <v>872</v>
      </c>
      <c r="L373">
        <v>278300</v>
      </c>
      <c r="M373">
        <v>69927.210000000006</v>
      </c>
      <c r="N373">
        <v>8994</v>
      </c>
    </row>
    <row r="374" spans="1:14" x14ac:dyDescent="0.3">
      <c r="A374" t="s">
        <v>23</v>
      </c>
      <c r="B374" t="s">
        <v>24</v>
      </c>
      <c r="C374">
        <v>2024</v>
      </c>
      <c r="D374">
        <v>168313</v>
      </c>
      <c r="E374" t="s">
        <v>47</v>
      </c>
      <c r="F374">
        <v>2918.93</v>
      </c>
      <c r="G374">
        <v>480</v>
      </c>
      <c r="H374">
        <v>290.36</v>
      </c>
      <c r="I374">
        <v>491293.87</v>
      </c>
      <c r="J374">
        <v>36331</v>
      </c>
      <c r="K374">
        <v>1257</v>
      </c>
      <c r="L374">
        <v>626250</v>
      </c>
      <c r="M374">
        <v>132970.57999999999</v>
      </c>
      <c r="N374">
        <v>7937</v>
      </c>
    </row>
    <row r="375" spans="1:14" x14ac:dyDescent="0.3">
      <c r="A375" t="s">
        <v>34</v>
      </c>
      <c r="B375" t="s">
        <v>65</v>
      </c>
      <c r="C375">
        <v>2021</v>
      </c>
      <c r="D375">
        <v>175212</v>
      </c>
      <c r="E375" t="s">
        <v>37</v>
      </c>
      <c r="F375">
        <v>2947.04</v>
      </c>
      <c r="G375">
        <v>195</v>
      </c>
      <c r="H375">
        <v>90.75</v>
      </c>
      <c r="I375">
        <v>516356.77</v>
      </c>
      <c r="J375">
        <v>22106</v>
      </c>
      <c r="K375">
        <v>1028</v>
      </c>
      <c r="L375">
        <v>218733</v>
      </c>
      <c r="M375">
        <v>47822.71</v>
      </c>
      <c r="N375">
        <v>1019</v>
      </c>
    </row>
    <row r="376" spans="1:14" x14ac:dyDescent="0.3">
      <c r="A376" t="s">
        <v>73</v>
      </c>
      <c r="B376" t="s">
        <v>74</v>
      </c>
      <c r="C376">
        <v>2024</v>
      </c>
      <c r="D376">
        <v>170507</v>
      </c>
      <c r="E376" t="s">
        <v>22</v>
      </c>
      <c r="F376">
        <v>3094.2</v>
      </c>
      <c r="G376">
        <v>125</v>
      </c>
      <c r="H376">
        <v>367.47</v>
      </c>
      <c r="I376">
        <v>527582.76</v>
      </c>
      <c r="J376">
        <v>24156</v>
      </c>
      <c r="K376">
        <v>2045</v>
      </c>
      <c r="L376">
        <v>509822</v>
      </c>
      <c r="M376">
        <v>50833.77</v>
      </c>
      <c r="N376">
        <v>7294</v>
      </c>
    </row>
    <row r="377" spans="1:14" x14ac:dyDescent="0.3">
      <c r="A377" t="s">
        <v>38</v>
      </c>
      <c r="B377" t="s">
        <v>42</v>
      </c>
      <c r="C377">
        <v>2022</v>
      </c>
      <c r="D377">
        <v>171361</v>
      </c>
      <c r="E377" t="s">
        <v>25</v>
      </c>
      <c r="F377">
        <v>4426.34</v>
      </c>
      <c r="G377">
        <v>121</v>
      </c>
      <c r="H377">
        <v>312.39999999999998</v>
      </c>
      <c r="I377">
        <v>758502.05</v>
      </c>
      <c r="J377">
        <v>26665</v>
      </c>
      <c r="K377">
        <v>1925</v>
      </c>
      <c r="L377">
        <v>328011</v>
      </c>
      <c r="M377">
        <v>112728.46</v>
      </c>
      <c r="N377">
        <v>2694</v>
      </c>
    </row>
    <row r="378" spans="1:14" x14ac:dyDescent="0.3">
      <c r="A378" t="s">
        <v>73</v>
      </c>
      <c r="B378" t="s">
        <v>75</v>
      </c>
      <c r="C378">
        <v>2024</v>
      </c>
      <c r="D378">
        <v>101588</v>
      </c>
      <c r="E378" t="s">
        <v>47</v>
      </c>
      <c r="F378">
        <v>3605.55</v>
      </c>
      <c r="G378">
        <v>497</v>
      </c>
      <c r="H378">
        <v>249.55</v>
      </c>
      <c r="I378">
        <v>366280.61</v>
      </c>
      <c r="J378">
        <v>23625</v>
      </c>
      <c r="K378">
        <v>1673</v>
      </c>
      <c r="L378">
        <v>782318</v>
      </c>
      <c r="M378">
        <v>85752.99</v>
      </c>
      <c r="N378">
        <v>9450</v>
      </c>
    </row>
    <row r="379" spans="1:14" x14ac:dyDescent="0.3">
      <c r="A379" t="s">
        <v>50</v>
      </c>
      <c r="B379" t="s">
        <v>77</v>
      </c>
      <c r="C379">
        <v>2020</v>
      </c>
      <c r="D379">
        <v>137736</v>
      </c>
      <c r="E379" t="s">
        <v>25</v>
      </c>
      <c r="F379">
        <v>4768.34</v>
      </c>
      <c r="G379">
        <v>347</v>
      </c>
      <c r="H379">
        <v>189.26</v>
      </c>
      <c r="I379">
        <v>656772.07999999996</v>
      </c>
      <c r="J379">
        <v>26387</v>
      </c>
      <c r="K379">
        <v>2564</v>
      </c>
      <c r="L379">
        <v>677907</v>
      </c>
      <c r="M379">
        <v>33283.26</v>
      </c>
      <c r="N379">
        <v>809</v>
      </c>
    </row>
    <row r="380" spans="1:14" x14ac:dyDescent="0.3">
      <c r="A380" t="s">
        <v>73</v>
      </c>
      <c r="B380" t="s">
        <v>74</v>
      </c>
      <c r="C380">
        <v>2020</v>
      </c>
      <c r="D380">
        <v>164161</v>
      </c>
      <c r="E380" t="s">
        <v>37</v>
      </c>
      <c r="F380">
        <v>3828.12</v>
      </c>
      <c r="G380">
        <v>93</v>
      </c>
      <c r="H380">
        <v>359.24</v>
      </c>
      <c r="I380">
        <v>628428.01</v>
      </c>
      <c r="J380">
        <v>25805</v>
      </c>
      <c r="K380">
        <v>2761</v>
      </c>
      <c r="L380">
        <v>664229</v>
      </c>
      <c r="M380">
        <v>42837.67</v>
      </c>
      <c r="N380">
        <v>5595</v>
      </c>
    </row>
    <row r="381" spans="1:14" x14ac:dyDescent="0.3">
      <c r="A381" t="s">
        <v>56</v>
      </c>
      <c r="B381" t="s">
        <v>71</v>
      </c>
      <c r="C381">
        <v>2021</v>
      </c>
      <c r="D381">
        <v>78481</v>
      </c>
      <c r="E381" t="s">
        <v>47</v>
      </c>
      <c r="F381">
        <v>1803.78</v>
      </c>
      <c r="G381">
        <v>183</v>
      </c>
      <c r="H381">
        <v>392.15</v>
      </c>
      <c r="I381">
        <v>141562.46</v>
      </c>
      <c r="J381">
        <v>31569</v>
      </c>
      <c r="K381">
        <v>3270</v>
      </c>
      <c r="L381">
        <v>734308</v>
      </c>
      <c r="M381">
        <v>41635.519999999997</v>
      </c>
      <c r="N381">
        <v>9483</v>
      </c>
    </row>
    <row r="382" spans="1:14" x14ac:dyDescent="0.3">
      <c r="A382" t="s">
        <v>17</v>
      </c>
      <c r="B382" t="s">
        <v>18</v>
      </c>
      <c r="C382">
        <v>2024</v>
      </c>
      <c r="D382">
        <v>91269</v>
      </c>
      <c r="E382" t="s">
        <v>19</v>
      </c>
      <c r="F382">
        <v>1705.07</v>
      </c>
      <c r="G382">
        <v>373</v>
      </c>
      <c r="H382">
        <v>385.97</v>
      </c>
      <c r="I382">
        <v>155620.03</v>
      </c>
      <c r="J382">
        <v>38932</v>
      </c>
      <c r="K382">
        <v>2267</v>
      </c>
      <c r="L382">
        <v>541874</v>
      </c>
      <c r="M382">
        <v>46411.47</v>
      </c>
      <c r="N382">
        <v>2681</v>
      </c>
    </row>
    <row r="383" spans="1:14" x14ac:dyDescent="0.3">
      <c r="A383" t="s">
        <v>50</v>
      </c>
      <c r="B383" t="s">
        <v>86</v>
      </c>
      <c r="C383">
        <v>2020</v>
      </c>
      <c r="D383">
        <v>125118</v>
      </c>
      <c r="E383" t="s">
        <v>47</v>
      </c>
      <c r="F383">
        <v>4379.95</v>
      </c>
      <c r="G383">
        <v>445</v>
      </c>
      <c r="H383">
        <v>377.16</v>
      </c>
      <c r="I383">
        <v>548010.57999999996</v>
      </c>
      <c r="J383">
        <v>19419</v>
      </c>
      <c r="K383">
        <v>1536</v>
      </c>
      <c r="L383">
        <v>322168</v>
      </c>
      <c r="M383">
        <v>105352.73</v>
      </c>
      <c r="N383">
        <v>4057</v>
      </c>
    </row>
    <row r="384" spans="1:14" x14ac:dyDescent="0.3">
      <c r="A384" t="s">
        <v>43</v>
      </c>
      <c r="B384" t="s">
        <v>58</v>
      </c>
      <c r="C384">
        <v>2022</v>
      </c>
      <c r="D384">
        <v>184479</v>
      </c>
      <c r="E384" t="s">
        <v>22</v>
      </c>
      <c r="F384">
        <v>509.34</v>
      </c>
      <c r="G384">
        <v>267</v>
      </c>
      <c r="H384">
        <v>310.69</v>
      </c>
      <c r="I384">
        <v>93962.53</v>
      </c>
      <c r="J384">
        <v>40654</v>
      </c>
      <c r="K384">
        <v>2429</v>
      </c>
      <c r="L384">
        <v>611001</v>
      </c>
      <c r="M384">
        <v>15142.71</v>
      </c>
      <c r="N384">
        <v>1193</v>
      </c>
    </row>
    <row r="385" spans="1:14" x14ac:dyDescent="0.3">
      <c r="A385" t="s">
        <v>59</v>
      </c>
      <c r="B385" t="s">
        <v>60</v>
      </c>
      <c r="C385">
        <v>2022</v>
      </c>
      <c r="D385">
        <v>53880</v>
      </c>
      <c r="E385" t="s">
        <v>19</v>
      </c>
      <c r="F385">
        <v>3436.14</v>
      </c>
      <c r="G385">
        <v>458</v>
      </c>
      <c r="H385">
        <v>299.29000000000002</v>
      </c>
      <c r="I385">
        <v>185139.22</v>
      </c>
      <c r="J385">
        <v>48333</v>
      </c>
      <c r="K385">
        <v>1593</v>
      </c>
      <c r="L385">
        <v>231413</v>
      </c>
      <c r="M385">
        <v>44792.800000000003</v>
      </c>
      <c r="N385">
        <v>8340</v>
      </c>
    </row>
    <row r="386" spans="1:14" x14ac:dyDescent="0.3">
      <c r="A386" t="s">
        <v>38</v>
      </c>
      <c r="B386" t="s">
        <v>42</v>
      </c>
      <c r="C386">
        <v>2021</v>
      </c>
      <c r="D386">
        <v>96705</v>
      </c>
      <c r="E386" t="s">
        <v>37</v>
      </c>
      <c r="F386">
        <v>654.70000000000005</v>
      </c>
      <c r="G386">
        <v>422</v>
      </c>
      <c r="H386">
        <v>439.78</v>
      </c>
      <c r="I386">
        <v>63312.76</v>
      </c>
      <c r="J386">
        <v>49786</v>
      </c>
      <c r="K386">
        <v>3197</v>
      </c>
      <c r="L386">
        <v>997790</v>
      </c>
      <c r="M386">
        <v>14113.1</v>
      </c>
      <c r="N386">
        <v>262</v>
      </c>
    </row>
    <row r="387" spans="1:14" x14ac:dyDescent="0.3">
      <c r="A387" t="s">
        <v>43</v>
      </c>
      <c r="B387" t="s">
        <v>58</v>
      </c>
      <c r="C387">
        <v>2024</v>
      </c>
      <c r="D387">
        <v>123313</v>
      </c>
      <c r="E387" t="s">
        <v>47</v>
      </c>
      <c r="F387">
        <v>2876.85</v>
      </c>
      <c r="G387">
        <v>364</v>
      </c>
      <c r="H387">
        <v>459.8</v>
      </c>
      <c r="I387">
        <v>354753</v>
      </c>
      <c r="J387">
        <v>18403</v>
      </c>
      <c r="K387">
        <v>3207</v>
      </c>
      <c r="L387">
        <v>385639</v>
      </c>
      <c r="M387">
        <v>45740.38</v>
      </c>
      <c r="N387">
        <v>9874</v>
      </c>
    </row>
    <row r="388" spans="1:14" x14ac:dyDescent="0.3">
      <c r="A388" t="s">
        <v>14</v>
      </c>
      <c r="B388" t="s">
        <v>90</v>
      </c>
      <c r="C388">
        <v>2021</v>
      </c>
      <c r="D388">
        <v>155185</v>
      </c>
      <c r="E388" t="s">
        <v>19</v>
      </c>
      <c r="F388">
        <v>2542.67</v>
      </c>
      <c r="G388">
        <v>196</v>
      </c>
      <c r="H388">
        <v>381.16</v>
      </c>
      <c r="I388">
        <v>394584.24</v>
      </c>
      <c r="J388">
        <v>33853</v>
      </c>
      <c r="K388">
        <v>2726</v>
      </c>
      <c r="L388">
        <v>538195</v>
      </c>
      <c r="M388">
        <v>97570.43</v>
      </c>
      <c r="N388">
        <v>5422</v>
      </c>
    </row>
    <row r="389" spans="1:14" x14ac:dyDescent="0.3">
      <c r="A389" t="s">
        <v>26</v>
      </c>
      <c r="B389" t="s">
        <v>78</v>
      </c>
      <c r="C389">
        <v>2022</v>
      </c>
      <c r="D389">
        <v>109412</v>
      </c>
      <c r="E389" t="s">
        <v>47</v>
      </c>
      <c r="F389">
        <v>2065.02</v>
      </c>
      <c r="G389">
        <v>213</v>
      </c>
      <c r="H389">
        <v>419.83</v>
      </c>
      <c r="I389">
        <v>225937.97</v>
      </c>
      <c r="J389">
        <v>42201</v>
      </c>
      <c r="K389">
        <v>946</v>
      </c>
      <c r="L389">
        <v>806322</v>
      </c>
      <c r="M389">
        <v>25705.72</v>
      </c>
      <c r="N389">
        <v>1174</v>
      </c>
    </row>
    <row r="390" spans="1:14" x14ac:dyDescent="0.3">
      <c r="A390" t="s">
        <v>53</v>
      </c>
      <c r="B390" t="s">
        <v>85</v>
      </c>
      <c r="C390">
        <v>2020</v>
      </c>
      <c r="D390">
        <v>193233</v>
      </c>
      <c r="E390" t="s">
        <v>49</v>
      </c>
      <c r="F390">
        <v>3656.75</v>
      </c>
      <c r="G390">
        <v>118</v>
      </c>
      <c r="H390">
        <v>436.25</v>
      </c>
      <c r="I390">
        <v>706604.77</v>
      </c>
      <c r="J390">
        <v>6211</v>
      </c>
      <c r="K390">
        <v>3685</v>
      </c>
      <c r="L390">
        <v>606107</v>
      </c>
      <c r="M390">
        <v>199877.11</v>
      </c>
      <c r="N390">
        <v>9297</v>
      </c>
    </row>
    <row r="391" spans="1:14" x14ac:dyDescent="0.3">
      <c r="A391" t="s">
        <v>30</v>
      </c>
      <c r="B391" t="s">
        <v>31</v>
      </c>
      <c r="C391">
        <v>2023</v>
      </c>
      <c r="D391">
        <v>121356</v>
      </c>
      <c r="E391" t="s">
        <v>16</v>
      </c>
      <c r="F391">
        <v>3647.9</v>
      </c>
      <c r="G391">
        <v>75</v>
      </c>
      <c r="H391">
        <v>192.05</v>
      </c>
      <c r="I391">
        <v>442694.55</v>
      </c>
      <c r="J391">
        <v>35461</v>
      </c>
      <c r="K391">
        <v>1780</v>
      </c>
      <c r="L391">
        <v>905695</v>
      </c>
      <c r="M391">
        <v>118387.13</v>
      </c>
      <c r="N391">
        <v>248</v>
      </c>
    </row>
    <row r="392" spans="1:14" x14ac:dyDescent="0.3">
      <c r="A392" t="s">
        <v>43</v>
      </c>
      <c r="B392" t="s">
        <v>58</v>
      </c>
      <c r="C392">
        <v>2020</v>
      </c>
      <c r="D392">
        <v>172689</v>
      </c>
      <c r="E392" t="s">
        <v>22</v>
      </c>
      <c r="F392">
        <v>4195.67</v>
      </c>
      <c r="G392">
        <v>407</v>
      </c>
      <c r="H392">
        <v>427.48</v>
      </c>
      <c r="I392">
        <v>724546.06</v>
      </c>
      <c r="J392">
        <v>9551</v>
      </c>
      <c r="K392">
        <v>3770</v>
      </c>
      <c r="L392">
        <v>523919</v>
      </c>
      <c r="M392">
        <v>82282.92</v>
      </c>
      <c r="N392">
        <v>2411</v>
      </c>
    </row>
    <row r="393" spans="1:14" x14ac:dyDescent="0.3">
      <c r="A393" t="s">
        <v>45</v>
      </c>
      <c r="B393" t="s">
        <v>46</v>
      </c>
      <c r="C393">
        <v>2023</v>
      </c>
      <c r="D393">
        <v>99756</v>
      </c>
      <c r="E393" t="s">
        <v>19</v>
      </c>
      <c r="F393">
        <v>911.09</v>
      </c>
      <c r="G393">
        <v>334</v>
      </c>
      <c r="H393">
        <v>377.35</v>
      </c>
      <c r="I393">
        <v>90886.69</v>
      </c>
      <c r="J393">
        <v>17067</v>
      </c>
      <c r="K393">
        <v>3433</v>
      </c>
      <c r="L393">
        <v>157044</v>
      </c>
      <c r="M393">
        <v>17900.099999999999</v>
      </c>
      <c r="N393">
        <v>4873</v>
      </c>
    </row>
    <row r="394" spans="1:14" x14ac:dyDescent="0.3">
      <c r="A394" t="s">
        <v>14</v>
      </c>
      <c r="B394" t="s">
        <v>28</v>
      </c>
      <c r="C394">
        <v>2020</v>
      </c>
      <c r="D394">
        <v>193518</v>
      </c>
      <c r="E394" t="s">
        <v>22</v>
      </c>
      <c r="F394">
        <v>1970.33</v>
      </c>
      <c r="G394">
        <v>140</v>
      </c>
      <c r="H394">
        <v>173.4</v>
      </c>
      <c r="I394">
        <v>381294.32</v>
      </c>
      <c r="J394">
        <v>22948</v>
      </c>
      <c r="K394">
        <v>3791</v>
      </c>
      <c r="L394">
        <v>241303</v>
      </c>
      <c r="M394">
        <v>83430.14</v>
      </c>
      <c r="N394">
        <v>3985</v>
      </c>
    </row>
    <row r="395" spans="1:14" x14ac:dyDescent="0.3">
      <c r="A395" t="s">
        <v>38</v>
      </c>
      <c r="B395" t="s">
        <v>42</v>
      </c>
      <c r="C395">
        <v>2023</v>
      </c>
      <c r="D395">
        <v>167569</v>
      </c>
      <c r="E395" t="s">
        <v>19</v>
      </c>
      <c r="F395">
        <v>4363.7</v>
      </c>
      <c r="G395">
        <v>379</v>
      </c>
      <c r="H395">
        <v>280.77999999999997</v>
      </c>
      <c r="I395">
        <v>731220.85</v>
      </c>
      <c r="J395">
        <v>42528</v>
      </c>
      <c r="K395">
        <v>566</v>
      </c>
      <c r="L395">
        <v>932693</v>
      </c>
      <c r="M395">
        <v>149586.76999999999</v>
      </c>
      <c r="N395">
        <v>2351</v>
      </c>
    </row>
    <row r="396" spans="1:14" x14ac:dyDescent="0.3">
      <c r="A396" t="s">
        <v>30</v>
      </c>
      <c r="B396" t="s">
        <v>31</v>
      </c>
      <c r="C396">
        <v>2023</v>
      </c>
      <c r="D396">
        <v>149108</v>
      </c>
      <c r="E396" t="s">
        <v>47</v>
      </c>
      <c r="F396">
        <v>4776.38</v>
      </c>
      <c r="G396">
        <v>498</v>
      </c>
      <c r="H396">
        <v>191.37</v>
      </c>
      <c r="I396">
        <v>712196.47</v>
      </c>
      <c r="J396">
        <v>43784</v>
      </c>
      <c r="K396">
        <v>4049</v>
      </c>
      <c r="L396">
        <v>914360</v>
      </c>
      <c r="M396">
        <v>162420</v>
      </c>
      <c r="N396">
        <v>8189</v>
      </c>
    </row>
    <row r="397" spans="1:14" x14ac:dyDescent="0.3">
      <c r="A397" t="s">
        <v>53</v>
      </c>
      <c r="B397" t="s">
        <v>81</v>
      </c>
      <c r="C397">
        <v>2024</v>
      </c>
      <c r="D397">
        <v>109902</v>
      </c>
      <c r="E397" t="s">
        <v>22</v>
      </c>
      <c r="F397">
        <v>4892.3900000000003</v>
      </c>
      <c r="G397">
        <v>65</v>
      </c>
      <c r="H397">
        <v>389.17</v>
      </c>
      <c r="I397">
        <v>537683.44999999995</v>
      </c>
      <c r="J397">
        <v>35962</v>
      </c>
      <c r="K397">
        <v>1794</v>
      </c>
      <c r="L397">
        <v>392776</v>
      </c>
      <c r="M397">
        <v>138815.57999999999</v>
      </c>
      <c r="N397">
        <v>2541</v>
      </c>
    </row>
    <row r="398" spans="1:14" x14ac:dyDescent="0.3">
      <c r="A398" t="s">
        <v>38</v>
      </c>
      <c r="B398" t="s">
        <v>39</v>
      </c>
      <c r="C398">
        <v>2021</v>
      </c>
      <c r="D398">
        <v>67482</v>
      </c>
      <c r="E398" t="s">
        <v>19</v>
      </c>
      <c r="F398">
        <v>1826.68</v>
      </c>
      <c r="G398">
        <v>264</v>
      </c>
      <c r="H398">
        <v>424.87</v>
      </c>
      <c r="I398">
        <v>123268.02</v>
      </c>
      <c r="J398">
        <v>33930</v>
      </c>
      <c r="K398">
        <v>2596</v>
      </c>
      <c r="L398">
        <v>323945</v>
      </c>
      <c r="M398">
        <v>35356.35</v>
      </c>
      <c r="N398">
        <v>8967</v>
      </c>
    </row>
    <row r="399" spans="1:14" x14ac:dyDescent="0.3">
      <c r="A399" t="s">
        <v>61</v>
      </c>
      <c r="B399" t="s">
        <v>62</v>
      </c>
      <c r="C399">
        <v>2021</v>
      </c>
      <c r="D399">
        <v>55147</v>
      </c>
      <c r="E399" t="s">
        <v>22</v>
      </c>
      <c r="F399">
        <v>2610.77</v>
      </c>
      <c r="G399">
        <v>335</v>
      </c>
      <c r="H399">
        <v>91.86</v>
      </c>
      <c r="I399">
        <v>143976.13</v>
      </c>
      <c r="J399">
        <v>39808</v>
      </c>
      <c r="K399">
        <v>2115</v>
      </c>
      <c r="L399">
        <v>445065</v>
      </c>
      <c r="M399">
        <v>11058.17</v>
      </c>
      <c r="N399">
        <v>5895</v>
      </c>
    </row>
    <row r="400" spans="1:14" x14ac:dyDescent="0.3">
      <c r="A400" t="s">
        <v>69</v>
      </c>
      <c r="B400" t="s">
        <v>91</v>
      </c>
      <c r="C400">
        <v>2024</v>
      </c>
      <c r="D400">
        <v>158835</v>
      </c>
      <c r="E400" t="s">
        <v>37</v>
      </c>
      <c r="F400">
        <v>1242.2</v>
      </c>
      <c r="G400">
        <v>451</v>
      </c>
      <c r="H400">
        <v>291.77</v>
      </c>
      <c r="I400">
        <v>197304.84</v>
      </c>
      <c r="J400">
        <v>6044</v>
      </c>
      <c r="K400">
        <v>2082</v>
      </c>
      <c r="L400">
        <v>857733</v>
      </c>
      <c r="M400">
        <v>31124.04</v>
      </c>
      <c r="N400">
        <v>6804</v>
      </c>
    </row>
    <row r="401" spans="1:14" x14ac:dyDescent="0.3">
      <c r="A401" t="s">
        <v>30</v>
      </c>
      <c r="B401" t="s">
        <v>92</v>
      </c>
      <c r="C401">
        <v>2021</v>
      </c>
      <c r="D401">
        <v>105809</v>
      </c>
      <c r="E401" t="s">
        <v>25</v>
      </c>
      <c r="F401">
        <v>3534.32</v>
      </c>
      <c r="G401">
        <v>148</v>
      </c>
      <c r="H401">
        <v>151.82</v>
      </c>
      <c r="I401">
        <v>373962.86</v>
      </c>
      <c r="J401">
        <v>11073</v>
      </c>
      <c r="K401">
        <v>2503</v>
      </c>
      <c r="L401">
        <v>575825</v>
      </c>
      <c r="M401">
        <v>91686.28</v>
      </c>
      <c r="N401">
        <v>5610</v>
      </c>
    </row>
    <row r="402" spans="1:14" x14ac:dyDescent="0.3">
      <c r="A402" t="s">
        <v>45</v>
      </c>
      <c r="B402" t="s">
        <v>52</v>
      </c>
      <c r="C402">
        <v>2020</v>
      </c>
      <c r="D402">
        <v>139846</v>
      </c>
      <c r="E402" t="s">
        <v>37</v>
      </c>
      <c r="F402">
        <v>3080.44</v>
      </c>
      <c r="G402">
        <v>81</v>
      </c>
      <c r="H402">
        <v>473.34</v>
      </c>
      <c r="I402">
        <v>430787.21</v>
      </c>
      <c r="J402">
        <v>35544</v>
      </c>
      <c r="K402">
        <v>861</v>
      </c>
      <c r="L402">
        <v>594392</v>
      </c>
      <c r="M402">
        <v>72595.86</v>
      </c>
      <c r="N402">
        <v>7381</v>
      </c>
    </row>
    <row r="403" spans="1:14" x14ac:dyDescent="0.3">
      <c r="A403" t="s">
        <v>53</v>
      </c>
      <c r="B403" t="s">
        <v>54</v>
      </c>
      <c r="C403">
        <v>2022</v>
      </c>
      <c r="D403">
        <v>98270</v>
      </c>
      <c r="E403" t="s">
        <v>22</v>
      </c>
      <c r="F403">
        <v>4061.13</v>
      </c>
      <c r="G403">
        <v>309</v>
      </c>
      <c r="H403">
        <v>332.04</v>
      </c>
      <c r="I403">
        <v>399087.25</v>
      </c>
      <c r="J403">
        <v>43328</v>
      </c>
      <c r="K403">
        <v>3802</v>
      </c>
      <c r="L403">
        <v>771615</v>
      </c>
      <c r="M403">
        <v>117711.14</v>
      </c>
      <c r="N403">
        <v>9847</v>
      </c>
    </row>
    <row r="404" spans="1:14" x14ac:dyDescent="0.3">
      <c r="A404" t="s">
        <v>20</v>
      </c>
      <c r="B404" t="s">
        <v>55</v>
      </c>
      <c r="C404">
        <v>2021</v>
      </c>
      <c r="D404">
        <v>152511</v>
      </c>
      <c r="E404" t="s">
        <v>16</v>
      </c>
      <c r="F404">
        <v>1451.44</v>
      </c>
      <c r="G404">
        <v>402</v>
      </c>
      <c r="H404">
        <v>484.45</v>
      </c>
      <c r="I404">
        <v>221360.57</v>
      </c>
      <c r="J404">
        <v>42383</v>
      </c>
      <c r="K404">
        <v>2424</v>
      </c>
      <c r="L404">
        <v>65733</v>
      </c>
      <c r="M404">
        <v>30122.080000000002</v>
      </c>
      <c r="N404">
        <v>2261</v>
      </c>
    </row>
    <row r="405" spans="1:14" x14ac:dyDescent="0.3">
      <c r="A405" t="s">
        <v>34</v>
      </c>
      <c r="B405" t="s">
        <v>94</v>
      </c>
      <c r="C405">
        <v>2021</v>
      </c>
      <c r="D405">
        <v>136489</v>
      </c>
      <c r="E405" t="s">
        <v>25</v>
      </c>
      <c r="F405">
        <v>897.79</v>
      </c>
      <c r="G405">
        <v>111</v>
      </c>
      <c r="H405">
        <v>238.52</v>
      </c>
      <c r="I405">
        <v>122538.46</v>
      </c>
      <c r="J405">
        <v>26059</v>
      </c>
      <c r="K405">
        <v>1664</v>
      </c>
      <c r="L405">
        <v>458294</v>
      </c>
      <c r="M405">
        <v>31273.32</v>
      </c>
      <c r="N405">
        <v>6819</v>
      </c>
    </row>
    <row r="406" spans="1:14" x14ac:dyDescent="0.3">
      <c r="A406" t="s">
        <v>14</v>
      </c>
      <c r="B406" t="s">
        <v>90</v>
      </c>
      <c r="C406">
        <v>2021</v>
      </c>
      <c r="D406">
        <v>131899</v>
      </c>
      <c r="E406" t="s">
        <v>22</v>
      </c>
      <c r="F406">
        <v>1596.69</v>
      </c>
      <c r="G406">
        <v>118</v>
      </c>
      <c r="H406">
        <v>250.65</v>
      </c>
      <c r="I406">
        <v>210601.81</v>
      </c>
      <c r="J406">
        <v>5767</v>
      </c>
      <c r="K406">
        <v>3954</v>
      </c>
      <c r="L406">
        <v>617256</v>
      </c>
      <c r="M406">
        <v>36857.1</v>
      </c>
      <c r="N406">
        <v>9830</v>
      </c>
    </row>
    <row r="407" spans="1:14" x14ac:dyDescent="0.3">
      <c r="A407" t="s">
        <v>26</v>
      </c>
      <c r="B407" t="s">
        <v>27</v>
      </c>
      <c r="C407">
        <v>2021</v>
      </c>
      <c r="D407">
        <v>121805</v>
      </c>
      <c r="E407" t="s">
        <v>19</v>
      </c>
      <c r="F407">
        <v>2051.46</v>
      </c>
      <c r="G407">
        <v>354</v>
      </c>
      <c r="H407">
        <v>448.97</v>
      </c>
      <c r="I407">
        <v>249878.09</v>
      </c>
      <c r="J407">
        <v>39800</v>
      </c>
      <c r="K407">
        <v>3070</v>
      </c>
      <c r="L407">
        <v>633526</v>
      </c>
      <c r="M407">
        <v>22140.18</v>
      </c>
      <c r="N407">
        <v>7966</v>
      </c>
    </row>
    <row r="408" spans="1:14" x14ac:dyDescent="0.3">
      <c r="A408" t="s">
        <v>63</v>
      </c>
      <c r="B408" t="s">
        <v>87</v>
      </c>
      <c r="C408">
        <v>2021</v>
      </c>
      <c r="D408">
        <v>183085</v>
      </c>
      <c r="E408" t="s">
        <v>25</v>
      </c>
      <c r="F408">
        <v>3812.16</v>
      </c>
      <c r="G408">
        <v>313</v>
      </c>
      <c r="H408">
        <v>446.89</v>
      </c>
      <c r="I408">
        <v>697949.31</v>
      </c>
      <c r="J408">
        <v>40694</v>
      </c>
      <c r="K408">
        <v>4876</v>
      </c>
      <c r="L408">
        <v>190562</v>
      </c>
      <c r="M408">
        <v>167919.84</v>
      </c>
      <c r="N408">
        <v>2173</v>
      </c>
    </row>
    <row r="409" spans="1:14" x14ac:dyDescent="0.3">
      <c r="A409" t="s">
        <v>63</v>
      </c>
      <c r="B409" t="s">
        <v>87</v>
      </c>
      <c r="C409">
        <v>2022</v>
      </c>
      <c r="D409">
        <v>99853</v>
      </c>
      <c r="E409" t="s">
        <v>25</v>
      </c>
      <c r="F409">
        <v>1398.33</v>
      </c>
      <c r="G409">
        <v>237</v>
      </c>
      <c r="H409">
        <v>373.13</v>
      </c>
      <c r="I409">
        <v>139627.45000000001</v>
      </c>
      <c r="J409">
        <v>29530</v>
      </c>
      <c r="K409">
        <v>866</v>
      </c>
      <c r="L409">
        <v>386399</v>
      </c>
      <c r="M409">
        <v>27521.66</v>
      </c>
      <c r="N409">
        <v>7956</v>
      </c>
    </row>
    <row r="410" spans="1:14" x14ac:dyDescent="0.3">
      <c r="A410" t="s">
        <v>40</v>
      </c>
      <c r="B410" t="s">
        <v>41</v>
      </c>
      <c r="C410">
        <v>2020</v>
      </c>
      <c r="D410">
        <v>80988</v>
      </c>
      <c r="E410" t="s">
        <v>16</v>
      </c>
      <c r="F410">
        <v>2935.57</v>
      </c>
      <c r="G410">
        <v>67</v>
      </c>
      <c r="H410">
        <v>141.91999999999999</v>
      </c>
      <c r="I410">
        <v>237745.94</v>
      </c>
      <c r="J410">
        <v>13989</v>
      </c>
      <c r="K410">
        <v>4288</v>
      </c>
      <c r="L410">
        <v>220534</v>
      </c>
      <c r="M410">
        <v>38128.74</v>
      </c>
      <c r="N410">
        <v>777</v>
      </c>
    </row>
    <row r="411" spans="1:14" x14ac:dyDescent="0.3">
      <c r="A411" t="s">
        <v>14</v>
      </c>
      <c r="B411" t="s">
        <v>28</v>
      </c>
      <c r="C411">
        <v>2022</v>
      </c>
      <c r="D411">
        <v>115641</v>
      </c>
      <c r="E411" t="s">
        <v>22</v>
      </c>
      <c r="F411">
        <v>3138.06</v>
      </c>
      <c r="G411">
        <v>379</v>
      </c>
      <c r="H411">
        <v>86.76</v>
      </c>
      <c r="I411">
        <v>362888.4</v>
      </c>
      <c r="J411">
        <v>24641</v>
      </c>
      <c r="K411">
        <v>2061</v>
      </c>
      <c r="L411">
        <v>463606</v>
      </c>
      <c r="M411">
        <v>75942.19</v>
      </c>
      <c r="N411">
        <v>700</v>
      </c>
    </row>
    <row r="412" spans="1:14" x14ac:dyDescent="0.3">
      <c r="A412" t="s">
        <v>50</v>
      </c>
      <c r="B412" t="s">
        <v>51</v>
      </c>
      <c r="C412">
        <v>2021</v>
      </c>
      <c r="D412">
        <v>175580</v>
      </c>
      <c r="E412" t="s">
        <v>22</v>
      </c>
      <c r="F412">
        <v>1317.34</v>
      </c>
      <c r="G412">
        <v>58</v>
      </c>
      <c r="H412">
        <v>124.05</v>
      </c>
      <c r="I412">
        <v>231298.56</v>
      </c>
      <c r="J412">
        <v>30473</v>
      </c>
      <c r="K412">
        <v>725</v>
      </c>
      <c r="L412">
        <v>980866</v>
      </c>
      <c r="M412">
        <v>18806.310000000001</v>
      </c>
      <c r="N412">
        <v>8995</v>
      </c>
    </row>
    <row r="413" spans="1:14" x14ac:dyDescent="0.3">
      <c r="A413" t="s">
        <v>26</v>
      </c>
      <c r="B413" t="s">
        <v>27</v>
      </c>
      <c r="C413">
        <v>2022</v>
      </c>
      <c r="D413">
        <v>120246</v>
      </c>
      <c r="E413" t="s">
        <v>25</v>
      </c>
      <c r="F413">
        <v>4829.96</v>
      </c>
      <c r="G413">
        <v>170</v>
      </c>
      <c r="H413">
        <v>372.9</v>
      </c>
      <c r="I413">
        <v>580783.37</v>
      </c>
      <c r="J413">
        <v>25608</v>
      </c>
      <c r="K413">
        <v>2576</v>
      </c>
      <c r="L413">
        <v>630305</v>
      </c>
      <c r="M413">
        <v>102966.79</v>
      </c>
      <c r="N413">
        <v>9721</v>
      </c>
    </row>
    <row r="414" spans="1:14" x14ac:dyDescent="0.3">
      <c r="A414" t="s">
        <v>14</v>
      </c>
      <c r="B414" t="s">
        <v>90</v>
      </c>
      <c r="C414">
        <v>2020</v>
      </c>
      <c r="D414">
        <v>83123</v>
      </c>
      <c r="E414" t="s">
        <v>16</v>
      </c>
      <c r="F414">
        <v>4102.41</v>
      </c>
      <c r="G414">
        <v>192</v>
      </c>
      <c r="H414">
        <v>235.01</v>
      </c>
      <c r="I414">
        <v>341004.63</v>
      </c>
      <c r="J414">
        <v>7024</v>
      </c>
      <c r="K414">
        <v>2365</v>
      </c>
      <c r="L414">
        <v>570112</v>
      </c>
      <c r="M414">
        <v>46169.5</v>
      </c>
      <c r="N414">
        <v>2006</v>
      </c>
    </row>
    <row r="415" spans="1:14" x14ac:dyDescent="0.3">
      <c r="A415" t="s">
        <v>20</v>
      </c>
      <c r="B415" t="s">
        <v>55</v>
      </c>
      <c r="C415">
        <v>2024</v>
      </c>
      <c r="D415">
        <v>57961</v>
      </c>
      <c r="E415" t="s">
        <v>47</v>
      </c>
      <c r="F415">
        <v>3425.51</v>
      </c>
      <c r="G415">
        <v>353</v>
      </c>
      <c r="H415">
        <v>70.19</v>
      </c>
      <c r="I415">
        <v>198545.99</v>
      </c>
      <c r="J415">
        <v>20682</v>
      </c>
      <c r="K415">
        <v>4485</v>
      </c>
      <c r="L415">
        <v>362712</v>
      </c>
      <c r="M415">
        <v>16579.830000000002</v>
      </c>
      <c r="N415">
        <v>3171</v>
      </c>
    </row>
    <row r="416" spans="1:14" x14ac:dyDescent="0.3">
      <c r="A416" t="s">
        <v>53</v>
      </c>
      <c r="B416" t="s">
        <v>54</v>
      </c>
      <c r="C416">
        <v>2024</v>
      </c>
      <c r="D416">
        <v>66939</v>
      </c>
      <c r="E416" t="s">
        <v>25</v>
      </c>
      <c r="F416">
        <v>4538.8999999999996</v>
      </c>
      <c r="G416">
        <v>217</v>
      </c>
      <c r="H416">
        <v>203.66</v>
      </c>
      <c r="I416">
        <v>303829.43</v>
      </c>
      <c r="J416">
        <v>18186</v>
      </c>
      <c r="K416">
        <v>3819</v>
      </c>
      <c r="L416">
        <v>199805</v>
      </c>
      <c r="M416">
        <v>79765.31</v>
      </c>
      <c r="N416">
        <v>5157</v>
      </c>
    </row>
    <row r="417" spans="1:14" x14ac:dyDescent="0.3">
      <c r="A417" t="s">
        <v>61</v>
      </c>
      <c r="B417" t="s">
        <v>68</v>
      </c>
      <c r="C417">
        <v>2023</v>
      </c>
      <c r="D417">
        <v>152302</v>
      </c>
      <c r="E417" t="s">
        <v>47</v>
      </c>
      <c r="F417">
        <v>3403.18</v>
      </c>
      <c r="G417">
        <v>269</v>
      </c>
      <c r="H417">
        <v>291.41000000000003</v>
      </c>
      <c r="I417">
        <v>518311.12</v>
      </c>
      <c r="J417">
        <v>29074</v>
      </c>
      <c r="K417">
        <v>4571</v>
      </c>
      <c r="L417">
        <v>943544</v>
      </c>
      <c r="M417">
        <v>32331.29</v>
      </c>
      <c r="N417">
        <v>440</v>
      </c>
    </row>
    <row r="418" spans="1:14" x14ac:dyDescent="0.3">
      <c r="A418" t="s">
        <v>73</v>
      </c>
      <c r="B418" t="s">
        <v>75</v>
      </c>
      <c r="C418">
        <v>2020</v>
      </c>
      <c r="D418">
        <v>175788</v>
      </c>
      <c r="E418" t="s">
        <v>19</v>
      </c>
      <c r="F418">
        <v>4181.66</v>
      </c>
      <c r="G418">
        <v>74</v>
      </c>
      <c r="H418">
        <v>276.45</v>
      </c>
      <c r="I418">
        <v>735085.65</v>
      </c>
      <c r="J418">
        <v>14241</v>
      </c>
      <c r="K418">
        <v>3284</v>
      </c>
      <c r="L418">
        <v>688464</v>
      </c>
      <c r="M418">
        <v>197075.46</v>
      </c>
      <c r="N418">
        <v>6575</v>
      </c>
    </row>
    <row r="419" spans="1:14" x14ac:dyDescent="0.3">
      <c r="A419" t="s">
        <v>53</v>
      </c>
      <c r="B419" t="s">
        <v>81</v>
      </c>
      <c r="C419">
        <v>2024</v>
      </c>
      <c r="D419">
        <v>143789</v>
      </c>
      <c r="E419" t="s">
        <v>19</v>
      </c>
      <c r="F419">
        <v>3320.75</v>
      </c>
      <c r="G419">
        <v>224</v>
      </c>
      <c r="H419">
        <v>103.75</v>
      </c>
      <c r="I419">
        <v>477487.32</v>
      </c>
      <c r="J419">
        <v>21251</v>
      </c>
      <c r="K419">
        <v>1938</v>
      </c>
      <c r="L419">
        <v>577831</v>
      </c>
      <c r="M419">
        <v>127304.22</v>
      </c>
      <c r="N419">
        <v>7127</v>
      </c>
    </row>
    <row r="420" spans="1:14" x14ac:dyDescent="0.3">
      <c r="A420" t="s">
        <v>56</v>
      </c>
      <c r="B420" t="s">
        <v>76</v>
      </c>
      <c r="C420">
        <v>2023</v>
      </c>
      <c r="D420">
        <v>115867</v>
      </c>
      <c r="E420" t="s">
        <v>16</v>
      </c>
      <c r="F420">
        <v>502.82</v>
      </c>
      <c r="G420">
        <v>305</v>
      </c>
      <c r="H420">
        <v>90.82</v>
      </c>
      <c r="I420">
        <v>58260.24</v>
      </c>
      <c r="J420">
        <v>5727</v>
      </c>
      <c r="K420">
        <v>3743</v>
      </c>
      <c r="L420">
        <v>415543</v>
      </c>
      <c r="M420">
        <v>4386.5</v>
      </c>
      <c r="N420">
        <v>9095</v>
      </c>
    </row>
    <row r="421" spans="1:14" x14ac:dyDescent="0.3">
      <c r="A421" t="s">
        <v>63</v>
      </c>
      <c r="B421" t="s">
        <v>64</v>
      </c>
      <c r="C421">
        <v>2024</v>
      </c>
      <c r="D421">
        <v>144192</v>
      </c>
      <c r="E421" t="s">
        <v>37</v>
      </c>
      <c r="F421">
        <v>1560.57</v>
      </c>
      <c r="G421">
        <v>329</v>
      </c>
      <c r="H421">
        <v>411.01</v>
      </c>
      <c r="I421">
        <v>225021.71</v>
      </c>
      <c r="J421">
        <v>25625</v>
      </c>
      <c r="K421">
        <v>3661</v>
      </c>
      <c r="L421">
        <v>374036</v>
      </c>
      <c r="M421">
        <v>35302.639999999999</v>
      </c>
      <c r="N421">
        <v>8724</v>
      </c>
    </row>
    <row r="422" spans="1:14" x14ac:dyDescent="0.3">
      <c r="A422" t="s">
        <v>43</v>
      </c>
      <c r="B422" t="s">
        <v>44</v>
      </c>
      <c r="C422">
        <v>2023</v>
      </c>
      <c r="D422">
        <v>98928</v>
      </c>
      <c r="E422" t="s">
        <v>16</v>
      </c>
      <c r="F422">
        <v>4712.7299999999996</v>
      </c>
      <c r="G422">
        <v>235</v>
      </c>
      <c r="H422">
        <v>291.06</v>
      </c>
      <c r="I422">
        <v>466220.95</v>
      </c>
      <c r="J422">
        <v>48795</v>
      </c>
      <c r="K422">
        <v>3013</v>
      </c>
      <c r="L422">
        <v>385510</v>
      </c>
      <c r="M422">
        <v>29772.05</v>
      </c>
      <c r="N422">
        <v>9846</v>
      </c>
    </row>
    <row r="423" spans="1:14" x14ac:dyDescent="0.3">
      <c r="A423" t="s">
        <v>56</v>
      </c>
      <c r="B423" t="s">
        <v>57</v>
      </c>
      <c r="C423">
        <v>2021</v>
      </c>
      <c r="D423">
        <v>144533</v>
      </c>
      <c r="E423" t="s">
        <v>16</v>
      </c>
      <c r="F423">
        <v>2689.17</v>
      </c>
      <c r="G423">
        <v>245</v>
      </c>
      <c r="H423">
        <v>490.25</v>
      </c>
      <c r="I423">
        <v>388673.81</v>
      </c>
      <c r="J423">
        <v>25823</v>
      </c>
      <c r="K423">
        <v>1358</v>
      </c>
      <c r="L423">
        <v>514271</v>
      </c>
      <c r="M423">
        <v>64196.55</v>
      </c>
      <c r="N423">
        <v>1547</v>
      </c>
    </row>
    <row r="424" spans="1:14" x14ac:dyDescent="0.3">
      <c r="A424" t="s">
        <v>17</v>
      </c>
      <c r="B424" t="s">
        <v>36</v>
      </c>
      <c r="C424">
        <v>2024</v>
      </c>
      <c r="D424">
        <v>183922</v>
      </c>
      <c r="E424" t="s">
        <v>16</v>
      </c>
      <c r="F424">
        <v>4844.83</v>
      </c>
      <c r="G424">
        <v>322</v>
      </c>
      <c r="H424">
        <v>133</v>
      </c>
      <c r="I424">
        <v>891070.82</v>
      </c>
      <c r="J424">
        <v>20493</v>
      </c>
      <c r="K424">
        <v>2951</v>
      </c>
      <c r="L424">
        <v>279016</v>
      </c>
      <c r="M424">
        <v>202561.81</v>
      </c>
      <c r="N424">
        <v>7834</v>
      </c>
    </row>
    <row r="425" spans="1:14" x14ac:dyDescent="0.3">
      <c r="A425" t="s">
        <v>43</v>
      </c>
      <c r="B425" t="s">
        <v>44</v>
      </c>
      <c r="C425">
        <v>2020</v>
      </c>
      <c r="D425">
        <v>120400</v>
      </c>
      <c r="E425" t="s">
        <v>37</v>
      </c>
      <c r="F425">
        <v>4626.8500000000004</v>
      </c>
      <c r="G425">
        <v>286</v>
      </c>
      <c r="H425">
        <v>433.64</v>
      </c>
      <c r="I425">
        <v>557072.74</v>
      </c>
      <c r="J425">
        <v>36225</v>
      </c>
      <c r="K425">
        <v>1266</v>
      </c>
      <c r="L425">
        <v>167369</v>
      </c>
      <c r="M425">
        <v>54173.33</v>
      </c>
      <c r="N425">
        <v>3613</v>
      </c>
    </row>
    <row r="426" spans="1:14" x14ac:dyDescent="0.3">
      <c r="A426" t="s">
        <v>61</v>
      </c>
      <c r="B426" t="s">
        <v>68</v>
      </c>
      <c r="C426">
        <v>2024</v>
      </c>
      <c r="D426">
        <v>194407</v>
      </c>
      <c r="E426" t="s">
        <v>49</v>
      </c>
      <c r="F426">
        <v>4894.2</v>
      </c>
      <c r="G426">
        <v>337</v>
      </c>
      <c r="H426">
        <v>65.59</v>
      </c>
      <c r="I426">
        <v>951466.74</v>
      </c>
      <c r="J426">
        <v>32684</v>
      </c>
      <c r="K426">
        <v>3055</v>
      </c>
      <c r="L426">
        <v>924722</v>
      </c>
      <c r="M426">
        <v>110619.26</v>
      </c>
      <c r="N426">
        <v>3014</v>
      </c>
    </row>
    <row r="427" spans="1:14" x14ac:dyDescent="0.3">
      <c r="A427" t="s">
        <v>30</v>
      </c>
      <c r="B427" t="s">
        <v>92</v>
      </c>
      <c r="C427">
        <v>2023</v>
      </c>
      <c r="D427">
        <v>161850</v>
      </c>
      <c r="E427" t="s">
        <v>49</v>
      </c>
      <c r="F427">
        <v>4110.2299999999996</v>
      </c>
      <c r="G427">
        <v>149</v>
      </c>
      <c r="H427">
        <v>377.39</v>
      </c>
      <c r="I427">
        <v>665240.73</v>
      </c>
      <c r="J427">
        <v>21779</v>
      </c>
      <c r="K427">
        <v>1438</v>
      </c>
      <c r="L427">
        <v>175604</v>
      </c>
      <c r="M427">
        <v>123013.29</v>
      </c>
      <c r="N427">
        <v>8505</v>
      </c>
    </row>
    <row r="428" spans="1:14" x14ac:dyDescent="0.3">
      <c r="A428" t="s">
        <v>69</v>
      </c>
      <c r="B428" t="s">
        <v>70</v>
      </c>
      <c r="C428">
        <v>2021</v>
      </c>
      <c r="D428">
        <v>163457</v>
      </c>
      <c r="E428" t="s">
        <v>22</v>
      </c>
      <c r="F428">
        <v>4322.59</v>
      </c>
      <c r="G428">
        <v>461</v>
      </c>
      <c r="H428">
        <v>212.75</v>
      </c>
      <c r="I428">
        <v>706557.59</v>
      </c>
      <c r="J428">
        <v>13314</v>
      </c>
      <c r="K428">
        <v>1662</v>
      </c>
      <c r="L428">
        <v>913460</v>
      </c>
      <c r="M428">
        <v>52152.59</v>
      </c>
      <c r="N428">
        <v>9226</v>
      </c>
    </row>
    <row r="429" spans="1:14" x14ac:dyDescent="0.3">
      <c r="A429" t="s">
        <v>56</v>
      </c>
      <c r="B429" t="s">
        <v>57</v>
      </c>
      <c r="C429">
        <v>2021</v>
      </c>
      <c r="D429">
        <v>178411</v>
      </c>
      <c r="E429" t="s">
        <v>49</v>
      </c>
      <c r="F429">
        <v>1412.93</v>
      </c>
      <c r="G429">
        <v>64</v>
      </c>
      <c r="H429">
        <v>111.23</v>
      </c>
      <c r="I429">
        <v>252082.25</v>
      </c>
      <c r="J429">
        <v>22493</v>
      </c>
      <c r="K429">
        <v>871</v>
      </c>
      <c r="L429">
        <v>695099</v>
      </c>
      <c r="M429">
        <v>58604.3</v>
      </c>
      <c r="N429">
        <v>4566</v>
      </c>
    </row>
    <row r="430" spans="1:14" x14ac:dyDescent="0.3">
      <c r="A430" t="s">
        <v>61</v>
      </c>
      <c r="B430" t="s">
        <v>93</v>
      </c>
      <c r="C430">
        <v>2023</v>
      </c>
      <c r="D430">
        <v>127924</v>
      </c>
      <c r="E430" t="s">
        <v>16</v>
      </c>
      <c r="F430">
        <v>1861.8</v>
      </c>
      <c r="G430">
        <v>290</v>
      </c>
      <c r="H430">
        <v>74.53</v>
      </c>
      <c r="I430">
        <v>238168.9</v>
      </c>
      <c r="J430">
        <v>45030</v>
      </c>
      <c r="K430">
        <v>3265</v>
      </c>
      <c r="L430">
        <v>355218</v>
      </c>
      <c r="M430">
        <v>45947.48</v>
      </c>
      <c r="N430">
        <v>5699</v>
      </c>
    </row>
    <row r="431" spans="1:14" x14ac:dyDescent="0.3">
      <c r="A431" t="s">
        <v>63</v>
      </c>
      <c r="B431" t="s">
        <v>87</v>
      </c>
      <c r="C431">
        <v>2022</v>
      </c>
      <c r="D431">
        <v>199725</v>
      </c>
      <c r="E431" t="s">
        <v>37</v>
      </c>
      <c r="F431">
        <v>598.91999999999996</v>
      </c>
      <c r="G431">
        <v>375</v>
      </c>
      <c r="H431">
        <v>183.75</v>
      </c>
      <c r="I431">
        <v>119619.3</v>
      </c>
      <c r="J431">
        <v>32909</v>
      </c>
      <c r="K431">
        <v>3403</v>
      </c>
      <c r="L431">
        <v>762932</v>
      </c>
      <c r="M431">
        <v>11932.36</v>
      </c>
      <c r="N431">
        <v>3195</v>
      </c>
    </row>
    <row r="432" spans="1:14" x14ac:dyDescent="0.3">
      <c r="A432" t="s">
        <v>50</v>
      </c>
      <c r="B432" t="s">
        <v>86</v>
      </c>
      <c r="C432">
        <v>2024</v>
      </c>
      <c r="D432">
        <v>197776</v>
      </c>
      <c r="E432" t="s">
        <v>19</v>
      </c>
      <c r="F432">
        <v>921.35</v>
      </c>
      <c r="G432">
        <v>429</v>
      </c>
      <c r="H432">
        <v>50.57</v>
      </c>
      <c r="I432">
        <v>182220.92</v>
      </c>
      <c r="J432">
        <v>47964</v>
      </c>
      <c r="K432">
        <v>2663</v>
      </c>
      <c r="L432">
        <v>490924</v>
      </c>
      <c r="M432">
        <v>31145.69</v>
      </c>
      <c r="N432">
        <v>2265</v>
      </c>
    </row>
    <row r="433" spans="1:14" x14ac:dyDescent="0.3">
      <c r="A433" t="s">
        <v>53</v>
      </c>
      <c r="B433" t="s">
        <v>81</v>
      </c>
      <c r="C433">
        <v>2023</v>
      </c>
      <c r="D433">
        <v>167996</v>
      </c>
      <c r="E433" t="s">
        <v>16</v>
      </c>
      <c r="F433">
        <v>1595.88</v>
      </c>
      <c r="G433">
        <v>354</v>
      </c>
      <c r="H433">
        <v>170.57</v>
      </c>
      <c r="I433">
        <v>268101.46000000002</v>
      </c>
      <c r="J433">
        <v>36047</v>
      </c>
      <c r="K433">
        <v>1805</v>
      </c>
      <c r="L433">
        <v>235784</v>
      </c>
      <c r="M433">
        <v>37641.94</v>
      </c>
      <c r="N433">
        <v>9777</v>
      </c>
    </row>
    <row r="434" spans="1:14" x14ac:dyDescent="0.3">
      <c r="A434" t="s">
        <v>17</v>
      </c>
      <c r="B434" t="s">
        <v>36</v>
      </c>
      <c r="C434">
        <v>2024</v>
      </c>
      <c r="D434">
        <v>196161</v>
      </c>
      <c r="E434" t="s">
        <v>47</v>
      </c>
      <c r="F434">
        <v>816.82</v>
      </c>
      <c r="G434">
        <v>458</v>
      </c>
      <c r="H434">
        <v>310.35000000000002</v>
      </c>
      <c r="I434">
        <v>160228.23000000001</v>
      </c>
      <c r="J434">
        <v>38988</v>
      </c>
      <c r="K434">
        <v>4306</v>
      </c>
      <c r="L434">
        <v>227129</v>
      </c>
      <c r="M434">
        <v>14386.86</v>
      </c>
      <c r="N434">
        <v>9210</v>
      </c>
    </row>
    <row r="435" spans="1:14" x14ac:dyDescent="0.3">
      <c r="A435" t="s">
        <v>14</v>
      </c>
      <c r="B435" t="s">
        <v>90</v>
      </c>
      <c r="C435">
        <v>2024</v>
      </c>
      <c r="D435">
        <v>52413</v>
      </c>
      <c r="E435" t="s">
        <v>22</v>
      </c>
      <c r="F435">
        <v>3781.45</v>
      </c>
      <c r="G435">
        <v>164</v>
      </c>
      <c r="H435">
        <v>323.02</v>
      </c>
      <c r="I435">
        <v>198197.14</v>
      </c>
      <c r="J435">
        <v>42679</v>
      </c>
      <c r="K435">
        <v>1292</v>
      </c>
      <c r="L435">
        <v>654019</v>
      </c>
      <c r="M435">
        <v>37500.82</v>
      </c>
      <c r="N435">
        <v>5293</v>
      </c>
    </row>
    <row r="436" spans="1:14" x14ac:dyDescent="0.3">
      <c r="A436" t="s">
        <v>63</v>
      </c>
      <c r="B436" t="s">
        <v>95</v>
      </c>
      <c r="C436">
        <v>2020</v>
      </c>
      <c r="D436">
        <v>51214</v>
      </c>
      <c r="E436" t="s">
        <v>49</v>
      </c>
      <c r="F436">
        <v>667.5</v>
      </c>
      <c r="G436">
        <v>172</v>
      </c>
      <c r="H436">
        <v>426.33</v>
      </c>
      <c r="I436">
        <v>34185.35</v>
      </c>
      <c r="J436">
        <v>42792</v>
      </c>
      <c r="K436">
        <v>2886</v>
      </c>
      <c r="L436">
        <v>989805</v>
      </c>
      <c r="M436">
        <v>3337.99</v>
      </c>
      <c r="N436">
        <v>3945</v>
      </c>
    </row>
    <row r="437" spans="1:14" x14ac:dyDescent="0.3">
      <c r="A437" t="s">
        <v>23</v>
      </c>
      <c r="B437" t="s">
        <v>24</v>
      </c>
      <c r="C437">
        <v>2024</v>
      </c>
      <c r="D437">
        <v>160186</v>
      </c>
      <c r="E437" t="s">
        <v>37</v>
      </c>
      <c r="F437">
        <v>4547.8100000000004</v>
      </c>
      <c r="G437">
        <v>307</v>
      </c>
      <c r="H437">
        <v>467.77</v>
      </c>
      <c r="I437">
        <v>728495.49</v>
      </c>
      <c r="J437">
        <v>21608</v>
      </c>
      <c r="K437">
        <v>735</v>
      </c>
      <c r="L437">
        <v>652294</v>
      </c>
      <c r="M437">
        <v>149694.29999999999</v>
      </c>
      <c r="N437">
        <v>848</v>
      </c>
    </row>
    <row r="438" spans="1:14" x14ac:dyDescent="0.3">
      <c r="A438" t="s">
        <v>56</v>
      </c>
      <c r="B438" t="s">
        <v>71</v>
      </c>
      <c r="C438">
        <v>2022</v>
      </c>
      <c r="D438">
        <v>193250</v>
      </c>
      <c r="E438" t="s">
        <v>19</v>
      </c>
      <c r="F438">
        <v>781</v>
      </c>
      <c r="G438">
        <v>89</v>
      </c>
      <c r="H438">
        <v>113.73</v>
      </c>
      <c r="I438">
        <v>150928.25</v>
      </c>
      <c r="J438">
        <v>18072</v>
      </c>
      <c r="K438">
        <v>4732</v>
      </c>
      <c r="L438">
        <v>941255</v>
      </c>
      <c r="M438">
        <v>43936.43</v>
      </c>
      <c r="N438">
        <v>7590</v>
      </c>
    </row>
    <row r="439" spans="1:14" x14ac:dyDescent="0.3">
      <c r="A439" t="s">
        <v>17</v>
      </c>
      <c r="B439" t="s">
        <v>18</v>
      </c>
      <c r="C439">
        <v>2023</v>
      </c>
      <c r="D439">
        <v>169547</v>
      </c>
      <c r="E439" t="s">
        <v>22</v>
      </c>
      <c r="F439">
        <v>3659.71</v>
      </c>
      <c r="G439">
        <v>327</v>
      </c>
      <c r="H439">
        <v>402.32</v>
      </c>
      <c r="I439">
        <v>620492.85</v>
      </c>
      <c r="J439">
        <v>13998</v>
      </c>
      <c r="K439">
        <v>1825</v>
      </c>
      <c r="L439">
        <v>217973</v>
      </c>
      <c r="M439">
        <v>109193.25</v>
      </c>
      <c r="N439">
        <v>2018</v>
      </c>
    </row>
    <row r="440" spans="1:14" x14ac:dyDescent="0.3">
      <c r="A440" t="s">
        <v>69</v>
      </c>
      <c r="B440" t="s">
        <v>70</v>
      </c>
      <c r="C440">
        <v>2020</v>
      </c>
      <c r="D440">
        <v>105568</v>
      </c>
      <c r="E440" t="s">
        <v>22</v>
      </c>
      <c r="F440">
        <v>2677.32</v>
      </c>
      <c r="G440">
        <v>270</v>
      </c>
      <c r="H440">
        <v>174.89</v>
      </c>
      <c r="I440">
        <v>282639.32</v>
      </c>
      <c r="J440">
        <v>15683</v>
      </c>
      <c r="K440">
        <v>904</v>
      </c>
      <c r="L440">
        <v>526857</v>
      </c>
      <c r="M440">
        <v>16202.26</v>
      </c>
      <c r="N440">
        <v>6482</v>
      </c>
    </row>
    <row r="441" spans="1:14" x14ac:dyDescent="0.3">
      <c r="A441" t="s">
        <v>63</v>
      </c>
      <c r="B441" t="s">
        <v>87</v>
      </c>
      <c r="C441">
        <v>2022</v>
      </c>
      <c r="D441">
        <v>108759</v>
      </c>
      <c r="E441" t="s">
        <v>47</v>
      </c>
      <c r="F441">
        <v>4778.3500000000004</v>
      </c>
      <c r="G441">
        <v>61</v>
      </c>
      <c r="H441">
        <v>442.17</v>
      </c>
      <c r="I441">
        <v>519688.57</v>
      </c>
      <c r="J441">
        <v>35936</v>
      </c>
      <c r="K441">
        <v>4759</v>
      </c>
      <c r="L441">
        <v>741750</v>
      </c>
      <c r="M441">
        <v>38248.75</v>
      </c>
      <c r="N441">
        <v>7520</v>
      </c>
    </row>
    <row r="442" spans="1:14" x14ac:dyDescent="0.3">
      <c r="A442" t="s">
        <v>23</v>
      </c>
      <c r="B442" t="s">
        <v>88</v>
      </c>
      <c r="C442">
        <v>2022</v>
      </c>
      <c r="D442">
        <v>157293</v>
      </c>
      <c r="E442" t="s">
        <v>25</v>
      </c>
      <c r="F442">
        <v>973.49</v>
      </c>
      <c r="G442">
        <v>407</v>
      </c>
      <c r="H442">
        <v>421.03</v>
      </c>
      <c r="I442">
        <v>153123.16</v>
      </c>
      <c r="J442">
        <v>37563</v>
      </c>
      <c r="K442">
        <v>521</v>
      </c>
      <c r="L442">
        <v>346412</v>
      </c>
      <c r="M442">
        <v>30481.41</v>
      </c>
      <c r="N442">
        <v>5214</v>
      </c>
    </row>
    <row r="443" spans="1:14" x14ac:dyDescent="0.3">
      <c r="A443" t="s">
        <v>26</v>
      </c>
      <c r="B443" t="s">
        <v>78</v>
      </c>
      <c r="C443">
        <v>2021</v>
      </c>
      <c r="D443">
        <v>120198</v>
      </c>
      <c r="E443" t="s">
        <v>37</v>
      </c>
      <c r="F443">
        <v>2510.5300000000002</v>
      </c>
      <c r="G443">
        <v>282</v>
      </c>
      <c r="H443">
        <v>463.84</v>
      </c>
      <c r="I443">
        <v>301760.68</v>
      </c>
      <c r="J443">
        <v>35028</v>
      </c>
      <c r="K443">
        <v>844</v>
      </c>
      <c r="L443">
        <v>691687</v>
      </c>
      <c r="M443">
        <v>55946.2</v>
      </c>
      <c r="N443">
        <v>1778</v>
      </c>
    </row>
    <row r="444" spans="1:14" x14ac:dyDescent="0.3">
      <c r="A444" t="s">
        <v>14</v>
      </c>
      <c r="B444" t="s">
        <v>15</v>
      </c>
      <c r="C444">
        <v>2023</v>
      </c>
      <c r="D444">
        <v>156718</v>
      </c>
      <c r="E444" t="s">
        <v>49</v>
      </c>
      <c r="F444">
        <v>770.49</v>
      </c>
      <c r="G444">
        <v>406</v>
      </c>
      <c r="H444">
        <v>202.27</v>
      </c>
      <c r="I444">
        <v>120749.65</v>
      </c>
      <c r="J444">
        <v>33615</v>
      </c>
      <c r="K444">
        <v>1164</v>
      </c>
      <c r="L444">
        <v>526492</v>
      </c>
      <c r="M444">
        <v>23590.07</v>
      </c>
      <c r="N444">
        <v>767</v>
      </c>
    </row>
    <row r="445" spans="1:14" x14ac:dyDescent="0.3">
      <c r="A445" t="s">
        <v>14</v>
      </c>
      <c r="B445" t="s">
        <v>90</v>
      </c>
      <c r="C445">
        <v>2023</v>
      </c>
      <c r="D445">
        <v>88744</v>
      </c>
      <c r="E445" t="s">
        <v>16</v>
      </c>
      <c r="F445">
        <v>4514.26</v>
      </c>
      <c r="G445">
        <v>116</v>
      </c>
      <c r="H445">
        <v>496.32</v>
      </c>
      <c r="I445">
        <v>400613.49</v>
      </c>
      <c r="J445">
        <v>47662</v>
      </c>
      <c r="K445">
        <v>1097</v>
      </c>
      <c r="L445">
        <v>82125</v>
      </c>
      <c r="M445">
        <v>92869.06</v>
      </c>
      <c r="N445">
        <v>5601</v>
      </c>
    </row>
    <row r="446" spans="1:14" x14ac:dyDescent="0.3">
      <c r="A446" t="s">
        <v>14</v>
      </c>
      <c r="B446" t="s">
        <v>15</v>
      </c>
      <c r="C446">
        <v>2020</v>
      </c>
      <c r="D446">
        <v>56895</v>
      </c>
      <c r="E446" t="s">
        <v>19</v>
      </c>
      <c r="F446">
        <v>4634.3599999999997</v>
      </c>
      <c r="G446">
        <v>113</v>
      </c>
      <c r="H446">
        <v>447.1</v>
      </c>
      <c r="I446">
        <v>263671.90999999997</v>
      </c>
      <c r="J446">
        <v>24932</v>
      </c>
      <c r="K446">
        <v>1731</v>
      </c>
      <c r="L446">
        <v>786786</v>
      </c>
      <c r="M446">
        <v>14738.73</v>
      </c>
      <c r="N446">
        <v>3983</v>
      </c>
    </row>
    <row r="447" spans="1:14" x14ac:dyDescent="0.3">
      <c r="A447" t="s">
        <v>73</v>
      </c>
      <c r="B447" t="s">
        <v>74</v>
      </c>
      <c r="C447">
        <v>2023</v>
      </c>
      <c r="D447">
        <v>135435</v>
      </c>
      <c r="E447" t="s">
        <v>25</v>
      </c>
      <c r="F447">
        <v>2282.25</v>
      </c>
      <c r="G447">
        <v>475</v>
      </c>
      <c r="H447">
        <v>448.66</v>
      </c>
      <c r="I447">
        <v>309096.53000000003</v>
      </c>
      <c r="J447">
        <v>32750</v>
      </c>
      <c r="K447">
        <v>723</v>
      </c>
      <c r="L447">
        <v>611669</v>
      </c>
      <c r="M447">
        <v>51408.74</v>
      </c>
      <c r="N447">
        <v>1441</v>
      </c>
    </row>
    <row r="448" spans="1:14" x14ac:dyDescent="0.3">
      <c r="A448" t="s">
        <v>63</v>
      </c>
      <c r="B448" t="s">
        <v>95</v>
      </c>
      <c r="C448">
        <v>2024</v>
      </c>
      <c r="D448">
        <v>168724</v>
      </c>
      <c r="E448" t="s">
        <v>16</v>
      </c>
      <c r="F448">
        <v>3950.82</v>
      </c>
      <c r="G448">
        <v>395</v>
      </c>
      <c r="H448">
        <v>131.38999999999999</v>
      </c>
      <c r="I448">
        <v>666598.15</v>
      </c>
      <c r="J448">
        <v>27942</v>
      </c>
      <c r="K448">
        <v>1343</v>
      </c>
      <c r="L448">
        <v>452932</v>
      </c>
      <c r="M448">
        <v>127011.07</v>
      </c>
      <c r="N448">
        <v>1075</v>
      </c>
    </row>
    <row r="449" spans="1:14" x14ac:dyDescent="0.3">
      <c r="A449" t="s">
        <v>43</v>
      </c>
      <c r="B449" t="s">
        <v>58</v>
      </c>
      <c r="C449">
        <v>2021</v>
      </c>
      <c r="D449">
        <v>57213</v>
      </c>
      <c r="E449" t="s">
        <v>47</v>
      </c>
      <c r="F449">
        <v>1635.81</v>
      </c>
      <c r="G449">
        <v>383</v>
      </c>
      <c r="H449">
        <v>317.87</v>
      </c>
      <c r="I449">
        <v>93589.6</v>
      </c>
      <c r="J449">
        <v>44601</v>
      </c>
      <c r="K449">
        <v>2409</v>
      </c>
      <c r="L449">
        <v>403383</v>
      </c>
      <c r="M449">
        <v>11421.78</v>
      </c>
      <c r="N449">
        <v>3161</v>
      </c>
    </row>
    <row r="450" spans="1:14" x14ac:dyDescent="0.3">
      <c r="A450" t="s">
        <v>45</v>
      </c>
      <c r="B450" t="s">
        <v>80</v>
      </c>
      <c r="C450">
        <v>2022</v>
      </c>
      <c r="D450">
        <v>154470</v>
      </c>
      <c r="E450" t="s">
        <v>37</v>
      </c>
      <c r="F450">
        <v>1360.59</v>
      </c>
      <c r="G450">
        <v>180</v>
      </c>
      <c r="H450">
        <v>153.68</v>
      </c>
      <c r="I450">
        <v>210170.34</v>
      </c>
      <c r="J450">
        <v>28763</v>
      </c>
      <c r="K450">
        <v>1567</v>
      </c>
      <c r="L450">
        <v>857039</v>
      </c>
      <c r="M450">
        <v>60360.42</v>
      </c>
      <c r="N450">
        <v>3279</v>
      </c>
    </row>
    <row r="451" spans="1:14" x14ac:dyDescent="0.3">
      <c r="A451" t="s">
        <v>30</v>
      </c>
      <c r="B451" t="s">
        <v>92</v>
      </c>
      <c r="C451">
        <v>2023</v>
      </c>
      <c r="D451">
        <v>101514</v>
      </c>
      <c r="E451" t="s">
        <v>37</v>
      </c>
      <c r="F451">
        <v>3768.37</v>
      </c>
      <c r="G451">
        <v>316</v>
      </c>
      <c r="H451">
        <v>341.38</v>
      </c>
      <c r="I451">
        <v>382542.31</v>
      </c>
      <c r="J451">
        <v>25968</v>
      </c>
      <c r="K451">
        <v>3861</v>
      </c>
      <c r="L451">
        <v>505651</v>
      </c>
      <c r="M451">
        <v>30322.639999999999</v>
      </c>
      <c r="N451">
        <v>6742</v>
      </c>
    </row>
    <row r="452" spans="1:14" x14ac:dyDescent="0.3">
      <c r="A452" t="s">
        <v>73</v>
      </c>
      <c r="B452" t="s">
        <v>74</v>
      </c>
      <c r="C452">
        <v>2023</v>
      </c>
      <c r="D452">
        <v>119893</v>
      </c>
      <c r="E452" t="s">
        <v>49</v>
      </c>
      <c r="F452">
        <v>1708.27</v>
      </c>
      <c r="G452">
        <v>220</v>
      </c>
      <c r="H452">
        <v>240.97</v>
      </c>
      <c r="I452">
        <v>204809.62</v>
      </c>
      <c r="J452">
        <v>26168</v>
      </c>
      <c r="K452">
        <v>2272</v>
      </c>
      <c r="L452">
        <v>471001</v>
      </c>
      <c r="M452">
        <v>22437.38</v>
      </c>
      <c r="N452">
        <v>8828</v>
      </c>
    </row>
    <row r="453" spans="1:14" x14ac:dyDescent="0.3">
      <c r="A453" t="s">
        <v>26</v>
      </c>
      <c r="B453" t="s">
        <v>27</v>
      </c>
      <c r="C453">
        <v>2023</v>
      </c>
      <c r="D453">
        <v>146134</v>
      </c>
      <c r="E453" t="s">
        <v>47</v>
      </c>
      <c r="F453">
        <v>4012.12</v>
      </c>
      <c r="G453">
        <v>274</v>
      </c>
      <c r="H453">
        <v>492.52</v>
      </c>
      <c r="I453">
        <v>586307.14</v>
      </c>
      <c r="J453">
        <v>27538</v>
      </c>
      <c r="K453">
        <v>534</v>
      </c>
      <c r="L453">
        <v>87310</v>
      </c>
      <c r="M453">
        <v>111342.2</v>
      </c>
      <c r="N453">
        <v>4539</v>
      </c>
    </row>
    <row r="454" spans="1:14" x14ac:dyDescent="0.3">
      <c r="A454" t="s">
        <v>14</v>
      </c>
      <c r="B454" t="s">
        <v>28</v>
      </c>
      <c r="C454">
        <v>2024</v>
      </c>
      <c r="D454">
        <v>100255</v>
      </c>
      <c r="E454" t="s">
        <v>49</v>
      </c>
      <c r="F454">
        <v>637.05999999999995</v>
      </c>
      <c r="G454">
        <v>177</v>
      </c>
      <c r="H454">
        <v>333.75</v>
      </c>
      <c r="I454">
        <v>63868.45</v>
      </c>
      <c r="J454">
        <v>27401</v>
      </c>
      <c r="K454">
        <v>3884</v>
      </c>
      <c r="L454">
        <v>801690</v>
      </c>
      <c r="M454">
        <v>13209.82</v>
      </c>
      <c r="N454">
        <v>7048</v>
      </c>
    </row>
    <row r="455" spans="1:14" x14ac:dyDescent="0.3">
      <c r="A455" t="s">
        <v>69</v>
      </c>
      <c r="B455" t="s">
        <v>70</v>
      </c>
      <c r="C455">
        <v>2022</v>
      </c>
      <c r="D455">
        <v>160160</v>
      </c>
      <c r="E455" t="s">
        <v>25</v>
      </c>
      <c r="F455">
        <v>3809.59</v>
      </c>
      <c r="G455">
        <v>441</v>
      </c>
      <c r="H455">
        <v>428.73</v>
      </c>
      <c r="I455">
        <v>610143.93000000005</v>
      </c>
      <c r="J455">
        <v>44873</v>
      </c>
      <c r="K455">
        <v>3262</v>
      </c>
      <c r="L455">
        <v>769831</v>
      </c>
      <c r="M455">
        <v>64131.91</v>
      </c>
      <c r="N455">
        <v>458</v>
      </c>
    </row>
    <row r="456" spans="1:14" x14ac:dyDescent="0.3">
      <c r="A456" t="s">
        <v>38</v>
      </c>
      <c r="B456" t="s">
        <v>42</v>
      </c>
      <c r="C456">
        <v>2023</v>
      </c>
      <c r="D456">
        <v>152081</v>
      </c>
      <c r="E456" t="s">
        <v>22</v>
      </c>
      <c r="F456">
        <v>1348.25</v>
      </c>
      <c r="G456">
        <v>214</v>
      </c>
      <c r="H456">
        <v>201.38</v>
      </c>
      <c r="I456">
        <v>205043.21</v>
      </c>
      <c r="J456">
        <v>44709</v>
      </c>
      <c r="K456">
        <v>4308</v>
      </c>
      <c r="L456">
        <v>284622</v>
      </c>
      <c r="M456">
        <v>22589.69</v>
      </c>
      <c r="N456">
        <v>8228</v>
      </c>
    </row>
    <row r="457" spans="1:14" x14ac:dyDescent="0.3">
      <c r="A457" t="s">
        <v>50</v>
      </c>
      <c r="B457" t="s">
        <v>77</v>
      </c>
      <c r="C457">
        <v>2023</v>
      </c>
      <c r="D457">
        <v>100227</v>
      </c>
      <c r="E457" t="s">
        <v>19</v>
      </c>
      <c r="F457">
        <v>616.53</v>
      </c>
      <c r="G457">
        <v>450</v>
      </c>
      <c r="H457">
        <v>73.819999999999993</v>
      </c>
      <c r="I457">
        <v>61792.95</v>
      </c>
      <c r="J457">
        <v>21988</v>
      </c>
      <c r="K457">
        <v>1097</v>
      </c>
      <c r="L457">
        <v>895308</v>
      </c>
      <c r="M457">
        <v>12002.29</v>
      </c>
      <c r="N457">
        <v>816</v>
      </c>
    </row>
    <row r="458" spans="1:14" x14ac:dyDescent="0.3">
      <c r="A458" t="s">
        <v>45</v>
      </c>
      <c r="B458" t="s">
        <v>46</v>
      </c>
      <c r="C458">
        <v>2020</v>
      </c>
      <c r="D458">
        <v>152390</v>
      </c>
      <c r="E458" t="s">
        <v>49</v>
      </c>
      <c r="F458">
        <v>3029.5</v>
      </c>
      <c r="G458">
        <v>319</v>
      </c>
      <c r="H458">
        <v>126.24</v>
      </c>
      <c r="I458">
        <v>461665.51</v>
      </c>
      <c r="J458">
        <v>38837</v>
      </c>
      <c r="K458">
        <v>1863</v>
      </c>
      <c r="L458">
        <v>87276</v>
      </c>
      <c r="M458">
        <v>88746.12</v>
      </c>
      <c r="N458">
        <v>3373</v>
      </c>
    </row>
    <row r="459" spans="1:14" x14ac:dyDescent="0.3">
      <c r="A459" t="s">
        <v>14</v>
      </c>
      <c r="B459" t="s">
        <v>90</v>
      </c>
      <c r="C459">
        <v>2020</v>
      </c>
      <c r="D459">
        <v>160545</v>
      </c>
      <c r="E459" t="s">
        <v>37</v>
      </c>
      <c r="F459">
        <v>2028.62</v>
      </c>
      <c r="G459">
        <v>438</v>
      </c>
      <c r="H459">
        <v>135.97999999999999</v>
      </c>
      <c r="I459">
        <v>325684.8</v>
      </c>
      <c r="J459">
        <v>11554</v>
      </c>
      <c r="K459">
        <v>3890</v>
      </c>
      <c r="L459">
        <v>962752</v>
      </c>
      <c r="M459">
        <v>38456.49</v>
      </c>
      <c r="N459">
        <v>500</v>
      </c>
    </row>
    <row r="460" spans="1:14" x14ac:dyDescent="0.3">
      <c r="A460" t="s">
        <v>38</v>
      </c>
      <c r="B460" t="s">
        <v>39</v>
      </c>
      <c r="C460">
        <v>2021</v>
      </c>
      <c r="D460">
        <v>69239</v>
      </c>
      <c r="E460" t="s">
        <v>19</v>
      </c>
      <c r="F460">
        <v>3183.77</v>
      </c>
      <c r="G460">
        <v>252</v>
      </c>
      <c r="H460">
        <v>284.06</v>
      </c>
      <c r="I460">
        <v>220441.05</v>
      </c>
      <c r="J460">
        <v>26217</v>
      </c>
      <c r="K460">
        <v>2910</v>
      </c>
      <c r="L460">
        <v>851123</v>
      </c>
      <c r="M460">
        <v>28015.42</v>
      </c>
      <c r="N460">
        <v>8425</v>
      </c>
    </row>
    <row r="461" spans="1:14" x14ac:dyDescent="0.3">
      <c r="A461" t="s">
        <v>17</v>
      </c>
      <c r="B461" t="s">
        <v>36</v>
      </c>
      <c r="C461">
        <v>2021</v>
      </c>
      <c r="D461">
        <v>173313</v>
      </c>
      <c r="E461" t="s">
        <v>22</v>
      </c>
      <c r="F461">
        <v>1398.51</v>
      </c>
      <c r="G461">
        <v>395</v>
      </c>
      <c r="H461">
        <v>140.38999999999999</v>
      </c>
      <c r="I461">
        <v>242379.96</v>
      </c>
      <c r="J461">
        <v>37471</v>
      </c>
      <c r="K461">
        <v>752</v>
      </c>
      <c r="L461">
        <v>104213</v>
      </c>
      <c r="M461">
        <v>44890.41</v>
      </c>
      <c r="N461">
        <v>3341</v>
      </c>
    </row>
    <row r="462" spans="1:14" x14ac:dyDescent="0.3">
      <c r="A462" t="s">
        <v>23</v>
      </c>
      <c r="B462" t="s">
        <v>88</v>
      </c>
      <c r="C462">
        <v>2022</v>
      </c>
      <c r="D462">
        <v>85825</v>
      </c>
      <c r="E462" t="s">
        <v>47</v>
      </c>
      <c r="F462">
        <v>2354.08</v>
      </c>
      <c r="G462">
        <v>338</v>
      </c>
      <c r="H462">
        <v>468.41</v>
      </c>
      <c r="I462">
        <v>202038.92</v>
      </c>
      <c r="J462">
        <v>16688</v>
      </c>
      <c r="K462">
        <v>1212</v>
      </c>
      <c r="L462">
        <v>601039</v>
      </c>
      <c r="M462">
        <v>23026</v>
      </c>
      <c r="N462">
        <v>1179</v>
      </c>
    </row>
    <row r="463" spans="1:14" x14ac:dyDescent="0.3">
      <c r="A463" t="s">
        <v>61</v>
      </c>
      <c r="B463" t="s">
        <v>93</v>
      </c>
      <c r="C463">
        <v>2023</v>
      </c>
      <c r="D463">
        <v>175758</v>
      </c>
      <c r="E463" t="s">
        <v>47</v>
      </c>
      <c r="F463">
        <v>1683.86</v>
      </c>
      <c r="G463">
        <v>471</v>
      </c>
      <c r="H463">
        <v>358.57</v>
      </c>
      <c r="I463">
        <v>295951.87</v>
      </c>
      <c r="J463">
        <v>14777</v>
      </c>
      <c r="K463">
        <v>4485</v>
      </c>
      <c r="L463">
        <v>193953</v>
      </c>
      <c r="M463">
        <v>27991.98</v>
      </c>
      <c r="N463">
        <v>2753</v>
      </c>
    </row>
    <row r="464" spans="1:14" x14ac:dyDescent="0.3">
      <c r="A464" t="s">
        <v>53</v>
      </c>
      <c r="B464" t="s">
        <v>54</v>
      </c>
      <c r="C464">
        <v>2024</v>
      </c>
      <c r="D464">
        <v>177785</v>
      </c>
      <c r="E464" t="s">
        <v>16</v>
      </c>
      <c r="F464">
        <v>3018.73</v>
      </c>
      <c r="G464">
        <v>435</v>
      </c>
      <c r="H464">
        <v>224.63</v>
      </c>
      <c r="I464">
        <v>536684.91</v>
      </c>
      <c r="J464">
        <v>29124</v>
      </c>
      <c r="K464">
        <v>4683</v>
      </c>
      <c r="L464">
        <v>442515</v>
      </c>
      <c r="M464">
        <v>126716.96</v>
      </c>
      <c r="N464">
        <v>5489</v>
      </c>
    </row>
    <row r="465" spans="1:14" x14ac:dyDescent="0.3">
      <c r="A465" t="s">
        <v>30</v>
      </c>
      <c r="B465" t="s">
        <v>92</v>
      </c>
      <c r="C465">
        <v>2021</v>
      </c>
      <c r="D465">
        <v>135283</v>
      </c>
      <c r="E465" t="s">
        <v>19</v>
      </c>
      <c r="F465">
        <v>784.64</v>
      </c>
      <c r="G465">
        <v>257</v>
      </c>
      <c r="H465">
        <v>335.2</v>
      </c>
      <c r="I465">
        <v>106148.45</v>
      </c>
      <c r="J465">
        <v>44349</v>
      </c>
      <c r="K465">
        <v>921</v>
      </c>
      <c r="L465">
        <v>748093</v>
      </c>
      <c r="M465">
        <v>25272.51</v>
      </c>
      <c r="N465">
        <v>1408</v>
      </c>
    </row>
    <row r="466" spans="1:14" x14ac:dyDescent="0.3">
      <c r="A466" t="s">
        <v>14</v>
      </c>
      <c r="B466" t="s">
        <v>15</v>
      </c>
      <c r="C466">
        <v>2020</v>
      </c>
      <c r="D466">
        <v>167674</v>
      </c>
      <c r="E466" t="s">
        <v>22</v>
      </c>
      <c r="F466">
        <v>4095.27</v>
      </c>
      <c r="G466">
        <v>253</v>
      </c>
      <c r="H466">
        <v>354.67</v>
      </c>
      <c r="I466">
        <v>686670.3</v>
      </c>
      <c r="J466">
        <v>25317</v>
      </c>
      <c r="K466">
        <v>1939</v>
      </c>
      <c r="L466">
        <v>465769</v>
      </c>
      <c r="M466">
        <v>95366.45</v>
      </c>
      <c r="N466">
        <v>9034</v>
      </c>
    </row>
    <row r="467" spans="1:14" x14ac:dyDescent="0.3">
      <c r="A467" t="s">
        <v>53</v>
      </c>
      <c r="B467" t="s">
        <v>85</v>
      </c>
      <c r="C467">
        <v>2023</v>
      </c>
      <c r="D467">
        <v>83734</v>
      </c>
      <c r="E467" t="s">
        <v>37</v>
      </c>
      <c r="F467">
        <v>1862.45</v>
      </c>
      <c r="G467">
        <v>98</v>
      </c>
      <c r="H467">
        <v>409.32</v>
      </c>
      <c r="I467">
        <v>155950.39000000001</v>
      </c>
      <c r="J467">
        <v>43452</v>
      </c>
      <c r="K467">
        <v>2415</v>
      </c>
      <c r="L467">
        <v>898039</v>
      </c>
      <c r="M467">
        <v>27221.09</v>
      </c>
      <c r="N467">
        <v>3338</v>
      </c>
    </row>
    <row r="468" spans="1:14" x14ac:dyDescent="0.3">
      <c r="A468" t="s">
        <v>43</v>
      </c>
      <c r="B468" t="s">
        <v>44</v>
      </c>
      <c r="C468">
        <v>2024</v>
      </c>
      <c r="D468">
        <v>80408</v>
      </c>
      <c r="E468" t="s">
        <v>19</v>
      </c>
      <c r="F468">
        <v>3674.1</v>
      </c>
      <c r="G468">
        <v>321</v>
      </c>
      <c r="H468">
        <v>397.52</v>
      </c>
      <c r="I468">
        <v>295427.03000000003</v>
      </c>
      <c r="J468">
        <v>5486</v>
      </c>
      <c r="K468">
        <v>3696</v>
      </c>
      <c r="L468">
        <v>551072</v>
      </c>
      <c r="M468">
        <v>72865.86</v>
      </c>
      <c r="N468">
        <v>338</v>
      </c>
    </row>
    <row r="469" spans="1:14" x14ac:dyDescent="0.3">
      <c r="A469" t="s">
        <v>26</v>
      </c>
      <c r="B469" t="s">
        <v>27</v>
      </c>
      <c r="C469">
        <v>2023</v>
      </c>
      <c r="D469">
        <v>122379</v>
      </c>
      <c r="E469" t="s">
        <v>49</v>
      </c>
      <c r="F469">
        <v>4700.55</v>
      </c>
      <c r="G469">
        <v>181</v>
      </c>
      <c r="H469">
        <v>349</v>
      </c>
      <c r="I469">
        <v>575248.61</v>
      </c>
      <c r="J469">
        <v>16864</v>
      </c>
      <c r="K469">
        <v>3312</v>
      </c>
      <c r="L469">
        <v>426826</v>
      </c>
      <c r="M469">
        <v>49305.41</v>
      </c>
      <c r="N469">
        <v>7904</v>
      </c>
    </row>
    <row r="470" spans="1:14" x14ac:dyDescent="0.3">
      <c r="A470" t="s">
        <v>17</v>
      </c>
      <c r="B470" t="s">
        <v>18</v>
      </c>
      <c r="C470">
        <v>2022</v>
      </c>
      <c r="D470">
        <v>81113</v>
      </c>
      <c r="E470" t="s">
        <v>37</v>
      </c>
      <c r="F470">
        <v>3556.27</v>
      </c>
      <c r="G470">
        <v>320</v>
      </c>
      <c r="H470">
        <v>499.89</v>
      </c>
      <c r="I470">
        <v>288459.73</v>
      </c>
      <c r="J470">
        <v>10956</v>
      </c>
      <c r="K470">
        <v>3465</v>
      </c>
      <c r="L470">
        <v>85135</v>
      </c>
      <c r="M470">
        <v>20657.86</v>
      </c>
      <c r="N470">
        <v>9477</v>
      </c>
    </row>
    <row r="471" spans="1:14" x14ac:dyDescent="0.3">
      <c r="A471" t="s">
        <v>45</v>
      </c>
      <c r="B471" t="s">
        <v>46</v>
      </c>
      <c r="C471">
        <v>2022</v>
      </c>
      <c r="D471">
        <v>53262</v>
      </c>
      <c r="E471" t="s">
        <v>16</v>
      </c>
      <c r="F471">
        <v>784.35</v>
      </c>
      <c r="G471">
        <v>237</v>
      </c>
      <c r="H471">
        <v>123.83</v>
      </c>
      <c r="I471">
        <v>41776.050000000003</v>
      </c>
      <c r="J471">
        <v>20329</v>
      </c>
      <c r="K471">
        <v>3920</v>
      </c>
      <c r="L471">
        <v>461811</v>
      </c>
      <c r="M471">
        <v>11293.09</v>
      </c>
      <c r="N471">
        <v>4641</v>
      </c>
    </row>
    <row r="472" spans="1:14" x14ac:dyDescent="0.3">
      <c r="A472" t="s">
        <v>69</v>
      </c>
      <c r="B472" t="s">
        <v>91</v>
      </c>
      <c r="C472">
        <v>2020</v>
      </c>
      <c r="D472">
        <v>95771</v>
      </c>
      <c r="E472" t="s">
        <v>47</v>
      </c>
      <c r="F472">
        <v>1792.66</v>
      </c>
      <c r="G472">
        <v>78</v>
      </c>
      <c r="H472">
        <v>190.72</v>
      </c>
      <c r="I472">
        <v>171684.84</v>
      </c>
      <c r="J472">
        <v>43409</v>
      </c>
      <c r="K472">
        <v>2501</v>
      </c>
      <c r="L472">
        <v>466512</v>
      </c>
      <c r="M472">
        <v>30179.34</v>
      </c>
      <c r="N472">
        <v>6623</v>
      </c>
    </row>
    <row r="473" spans="1:14" x14ac:dyDescent="0.3">
      <c r="A473" t="s">
        <v>63</v>
      </c>
      <c r="B473" t="s">
        <v>87</v>
      </c>
      <c r="C473">
        <v>2023</v>
      </c>
      <c r="D473">
        <v>62397</v>
      </c>
      <c r="E473" t="s">
        <v>16</v>
      </c>
      <c r="F473">
        <v>2977.45</v>
      </c>
      <c r="G473">
        <v>231</v>
      </c>
      <c r="H473">
        <v>106.23</v>
      </c>
      <c r="I473">
        <v>185783.95</v>
      </c>
      <c r="J473">
        <v>18824</v>
      </c>
      <c r="K473">
        <v>1282</v>
      </c>
      <c r="L473">
        <v>819776</v>
      </c>
      <c r="M473">
        <v>55651.35</v>
      </c>
      <c r="N473">
        <v>8177</v>
      </c>
    </row>
    <row r="474" spans="1:14" x14ac:dyDescent="0.3">
      <c r="A474" t="s">
        <v>61</v>
      </c>
      <c r="B474" t="s">
        <v>93</v>
      </c>
      <c r="C474">
        <v>2020</v>
      </c>
      <c r="D474">
        <v>86490</v>
      </c>
      <c r="E474" t="s">
        <v>22</v>
      </c>
      <c r="F474">
        <v>2143.5300000000002</v>
      </c>
      <c r="G474">
        <v>369</v>
      </c>
      <c r="H474">
        <v>409.86</v>
      </c>
      <c r="I474">
        <v>185393.91</v>
      </c>
      <c r="J474">
        <v>18806</v>
      </c>
      <c r="K474">
        <v>1416</v>
      </c>
      <c r="L474">
        <v>669212</v>
      </c>
      <c r="M474">
        <v>45143.19</v>
      </c>
      <c r="N474">
        <v>1068</v>
      </c>
    </row>
    <row r="475" spans="1:14" x14ac:dyDescent="0.3">
      <c r="A475" t="s">
        <v>17</v>
      </c>
      <c r="B475" t="s">
        <v>36</v>
      </c>
      <c r="C475">
        <v>2024</v>
      </c>
      <c r="D475">
        <v>122833</v>
      </c>
      <c r="E475" t="s">
        <v>19</v>
      </c>
      <c r="F475">
        <v>1560.05</v>
      </c>
      <c r="G475">
        <v>330</v>
      </c>
      <c r="H475">
        <v>318.93</v>
      </c>
      <c r="I475">
        <v>191625.62</v>
      </c>
      <c r="J475">
        <v>46941</v>
      </c>
      <c r="K475">
        <v>4029</v>
      </c>
      <c r="L475">
        <v>50801</v>
      </c>
      <c r="M475">
        <v>55847.87</v>
      </c>
      <c r="N475">
        <v>9421</v>
      </c>
    </row>
    <row r="476" spans="1:14" x14ac:dyDescent="0.3">
      <c r="A476" t="s">
        <v>30</v>
      </c>
      <c r="B476" t="s">
        <v>92</v>
      </c>
      <c r="C476">
        <v>2023</v>
      </c>
      <c r="D476">
        <v>78363</v>
      </c>
      <c r="E476" t="s">
        <v>49</v>
      </c>
      <c r="F476">
        <v>1804.66</v>
      </c>
      <c r="G476">
        <v>64</v>
      </c>
      <c r="H476">
        <v>280.19</v>
      </c>
      <c r="I476">
        <v>141418.57</v>
      </c>
      <c r="J476">
        <v>19855</v>
      </c>
      <c r="K476">
        <v>3685</v>
      </c>
      <c r="L476">
        <v>699362</v>
      </c>
      <c r="M476">
        <v>28959.74</v>
      </c>
      <c r="N476">
        <v>2989</v>
      </c>
    </row>
    <row r="477" spans="1:14" x14ac:dyDescent="0.3">
      <c r="A477" t="s">
        <v>40</v>
      </c>
      <c r="B477" t="s">
        <v>72</v>
      </c>
      <c r="C477">
        <v>2021</v>
      </c>
      <c r="D477">
        <v>59569</v>
      </c>
      <c r="E477" t="s">
        <v>22</v>
      </c>
      <c r="F477">
        <v>4592.5</v>
      </c>
      <c r="G477">
        <v>91</v>
      </c>
      <c r="H477">
        <v>189.44</v>
      </c>
      <c r="I477">
        <v>273570.63</v>
      </c>
      <c r="J477">
        <v>12612</v>
      </c>
      <c r="K477">
        <v>3255</v>
      </c>
      <c r="L477">
        <v>892329</v>
      </c>
      <c r="M477">
        <v>40084.879999999997</v>
      </c>
      <c r="N477">
        <v>6720</v>
      </c>
    </row>
    <row r="478" spans="1:14" x14ac:dyDescent="0.3">
      <c r="A478" t="s">
        <v>61</v>
      </c>
      <c r="B478" t="s">
        <v>62</v>
      </c>
      <c r="C478">
        <v>2020</v>
      </c>
      <c r="D478">
        <v>174746</v>
      </c>
      <c r="E478" t="s">
        <v>47</v>
      </c>
      <c r="F478">
        <v>4964.34</v>
      </c>
      <c r="G478">
        <v>248</v>
      </c>
      <c r="H478">
        <v>82.36</v>
      </c>
      <c r="I478">
        <v>867498.56</v>
      </c>
      <c r="J478">
        <v>43677</v>
      </c>
      <c r="K478">
        <v>1180</v>
      </c>
      <c r="L478">
        <v>877363</v>
      </c>
      <c r="M478">
        <v>128571.76</v>
      </c>
      <c r="N478">
        <v>7686</v>
      </c>
    </row>
    <row r="479" spans="1:14" x14ac:dyDescent="0.3">
      <c r="A479" t="s">
        <v>20</v>
      </c>
      <c r="B479" t="s">
        <v>21</v>
      </c>
      <c r="C479">
        <v>2024</v>
      </c>
      <c r="D479">
        <v>124408</v>
      </c>
      <c r="E479" t="s">
        <v>22</v>
      </c>
      <c r="F479">
        <v>3290.01</v>
      </c>
      <c r="G479">
        <v>364</v>
      </c>
      <c r="H479">
        <v>245.61</v>
      </c>
      <c r="I479">
        <v>409303.56</v>
      </c>
      <c r="J479">
        <v>18541</v>
      </c>
      <c r="K479">
        <v>3727</v>
      </c>
      <c r="L479">
        <v>72948</v>
      </c>
      <c r="M479">
        <v>41532.78</v>
      </c>
      <c r="N479">
        <v>2417</v>
      </c>
    </row>
    <row r="480" spans="1:14" x14ac:dyDescent="0.3">
      <c r="A480" t="s">
        <v>30</v>
      </c>
      <c r="B480" t="s">
        <v>92</v>
      </c>
      <c r="C480">
        <v>2024</v>
      </c>
      <c r="D480">
        <v>151925</v>
      </c>
      <c r="E480" t="s">
        <v>49</v>
      </c>
      <c r="F480">
        <v>4288.93</v>
      </c>
      <c r="G480">
        <v>380</v>
      </c>
      <c r="H480">
        <v>257.26</v>
      </c>
      <c r="I480">
        <v>651595.68999999994</v>
      </c>
      <c r="J480">
        <v>19274</v>
      </c>
      <c r="K480">
        <v>1793</v>
      </c>
      <c r="L480">
        <v>216305</v>
      </c>
      <c r="M480">
        <v>50765.16</v>
      </c>
      <c r="N480">
        <v>8544</v>
      </c>
    </row>
    <row r="481" spans="1:14" x14ac:dyDescent="0.3">
      <c r="A481" t="s">
        <v>30</v>
      </c>
      <c r="B481" t="s">
        <v>92</v>
      </c>
      <c r="C481">
        <v>2022</v>
      </c>
      <c r="D481">
        <v>118295</v>
      </c>
      <c r="E481" t="s">
        <v>22</v>
      </c>
      <c r="F481">
        <v>3395.16</v>
      </c>
      <c r="G481">
        <v>391</v>
      </c>
      <c r="H481">
        <v>153.94</v>
      </c>
      <c r="I481">
        <v>401630.45</v>
      </c>
      <c r="J481">
        <v>20248</v>
      </c>
      <c r="K481">
        <v>3068</v>
      </c>
      <c r="L481">
        <v>720397</v>
      </c>
      <c r="M481">
        <v>27079</v>
      </c>
      <c r="N481">
        <v>4910</v>
      </c>
    </row>
    <row r="482" spans="1:14" x14ac:dyDescent="0.3">
      <c r="A482" t="s">
        <v>69</v>
      </c>
      <c r="B482" t="s">
        <v>70</v>
      </c>
      <c r="C482">
        <v>2020</v>
      </c>
      <c r="D482">
        <v>187863</v>
      </c>
      <c r="E482" t="s">
        <v>37</v>
      </c>
      <c r="F482">
        <v>2890.4</v>
      </c>
      <c r="G482">
        <v>143</v>
      </c>
      <c r="H482">
        <v>470.48</v>
      </c>
      <c r="I482">
        <v>542999.22</v>
      </c>
      <c r="J482">
        <v>14967</v>
      </c>
      <c r="K482">
        <v>935</v>
      </c>
      <c r="L482">
        <v>972451</v>
      </c>
      <c r="M482">
        <v>101734.79</v>
      </c>
      <c r="N482">
        <v>9107</v>
      </c>
    </row>
    <row r="483" spans="1:14" x14ac:dyDescent="0.3">
      <c r="A483" t="s">
        <v>40</v>
      </c>
      <c r="B483" t="s">
        <v>72</v>
      </c>
      <c r="C483">
        <v>2021</v>
      </c>
      <c r="D483">
        <v>124495</v>
      </c>
      <c r="E483" t="s">
        <v>19</v>
      </c>
      <c r="F483">
        <v>3443.35</v>
      </c>
      <c r="G483">
        <v>363</v>
      </c>
      <c r="H483">
        <v>107.94</v>
      </c>
      <c r="I483">
        <v>428679.86</v>
      </c>
      <c r="J483">
        <v>35418</v>
      </c>
      <c r="K483">
        <v>3648</v>
      </c>
      <c r="L483">
        <v>567561</v>
      </c>
      <c r="M483">
        <v>62451.07</v>
      </c>
      <c r="N483">
        <v>8433</v>
      </c>
    </row>
    <row r="484" spans="1:14" x14ac:dyDescent="0.3">
      <c r="A484" t="s">
        <v>32</v>
      </c>
      <c r="B484" t="s">
        <v>33</v>
      </c>
      <c r="C484">
        <v>2021</v>
      </c>
      <c r="D484">
        <v>198348</v>
      </c>
      <c r="E484" t="s">
        <v>19</v>
      </c>
      <c r="F484">
        <v>825.75</v>
      </c>
      <c r="G484">
        <v>201</v>
      </c>
      <c r="H484">
        <v>111.43</v>
      </c>
      <c r="I484">
        <v>163785.85999999999</v>
      </c>
      <c r="J484">
        <v>15892</v>
      </c>
      <c r="K484">
        <v>3874</v>
      </c>
      <c r="L484">
        <v>488895</v>
      </c>
      <c r="M484">
        <v>18137.05</v>
      </c>
      <c r="N484">
        <v>7731</v>
      </c>
    </row>
    <row r="485" spans="1:14" x14ac:dyDescent="0.3">
      <c r="A485" t="s">
        <v>17</v>
      </c>
      <c r="B485" t="s">
        <v>36</v>
      </c>
      <c r="C485">
        <v>2023</v>
      </c>
      <c r="D485">
        <v>89994</v>
      </c>
      <c r="E485" t="s">
        <v>47</v>
      </c>
      <c r="F485">
        <v>3661.83</v>
      </c>
      <c r="G485">
        <v>356</v>
      </c>
      <c r="H485">
        <v>193.57</v>
      </c>
      <c r="I485">
        <v>329542.73</v>
      </c>
      <c r="J485">
        <v>23205</v>
      </c>
      <c r="K485">
        <v>3151</v>
      </c>
      <c r="L485">
        <v>649830</v>
      </c>
      <c r="M485">
        <v>46315.72</v>
      </c>
      <c r="N485">
        <v>8849</v>
      </c>
    </row>
    <row r="486" spans="1:14" x14ac:dyDescent="0.3">
      <c r="A486" t="s">
        <v>59</v>
      </c>
      <c r="B486" t="s">
        <v>60</v>
      </c>
      <c r="C486">
        <v>2022</v>
      </c>
      <c r="D486">
        <v>110645</v>
      </c>
      <c r="E486" t="s">
        <v>22</v>
      </c>
      <c r="F486">
        <v>4324.29</v>
      </c>
      <c r="G486">
        <v>206</v>
      </c>
      <c r="H486">
        <v>386.9</v>
      </c>
      <c r="I486">
        <v>478461.07</v>
      </c>
      <c r="J486">
        <v>17213</v>
      </c>
      <c r="K486">
        <v>3637</v>
      </c>
      <c r="L486">
        <v>681445</v>
      </c>
      <c r="M486">
        <v>135742.04</v>
      </c>
      <c r="N486">
        <v>3226</v>
      </c>
    </row>
    <row r="487" spans="1:14" x14ac:dyDescent="0.3">
      <c r="A487" t="s">
        <v>23</v>
      </c>
      <c r="B487" t="s">
        <v>88</v>
      </c>
      <c r="C487">
        <v>2020</v>
      </c>
      <c r="D487">
        <v>62120</v>
      </c>
      <c r="E487" t="s">
        <v>37</v>
      </c>
      <c r="F487">
        <v>2160.44</v>
      </c>
      <c r="G487">
        <v>366</v>
      </c>
      <c r="H487">
        <v>158.32</v>
      </c>
      <c r="I487">
        <v>134206.53</v>
      </c>
      <c r="J487">
        <v>24093</v>
      </c>
      <c r="K487">
        <v>4905</v>
      </c>
      <c r="L487">
        <v>225885</v>
      </c>
      <c r="M487">
        <v>20281.66</v>
      </c>
      <c r="N487">
        <v>830</v>
      </c>
    </row>
    <row r="488" spans="1:14" x14ac:dyDescent="0.3">
      <c r="A488" t="s">
        <v>73</v>
      </c>
      <c r="B488" t="s">
        <v>75</v>
      </c>
      <c r="C488">
        <v>2022</v>
      </c>
      <c r="D488">
        <v>197000</v>
      </c>
      <c r="E488" t="s">
        <v>49</v>
      </c>
      <c r="F488">
        <v>4240.6099999999997</v>
      </c>
      <c r="G488">
        <v>106</v>
      </c>
      <c r="H488">
        <v>224.23</v>
      </c>
      <c r="I488">
        <v>835400.17</v>
      </c>
      <c r="J488">
        <v>42134</v>
      </c>
      <c r="K488">
        <v>3416</v>
      </c>
      <c r="L488">
        <v>917190</v>
      </c>
      <c r="M488">
        <v>85259.23</v>
      </c>
      <c r="N488">
        <v>2789</v>
      </c>
    </row>
    <row r="489" spans="1:14" x14ac:dyDescent="0.3">
      <c r="A489" t="s">
        <v>40</v>
      </c>
      <c r="B489" t="s">
        <v>72</v>
      </c>
      <c r="C489">
        <v>2023</v>
      </c>
      <c r="D489">
        <v>139110</v>
      </c>
      <c r="E489" t="s">
        <v>25</v>
      </c>
      <c r="F489">
        <v>4395.3999999999996</v>
      </c>
      <c r="G489">
        <v>461</v>
      </c>
      <c r="H489">
        <v>82.99</v>
      </c>
      <c r="I489">
        <v>611444.09</v>
      </c>
      <c r="J489">
        <v>12999</v>
      </c>
      <c r="K489">
        <v>4121</v>
      </c>
      <c r="L489">
        <v>168371</v>
      </c>
      <c r="M489">
        <v>177256.44</v>
      </c>
      <c r="N489">
        <v>1745</v>
      </c>
    </row>
    <row r="490" spans="1:14" x14ac:dyDescent="0.3">
      <c r="A490" t="s">
        <v>69</v>
      </c>
      <c r="B490" t="s">
        <v>91</v>
      </c>
      <c r="C490">
        <v>2023</v>
      </c>
      <c r="D490">
        <v>60435</v>
      </c>
      <c r="E490" t="s">
        <v>16</v>
      </c>
      <c r="F490">
        <v>1185.03</v>
      </c>
      <c r="G490">
        <v>59</v>
      </c>
      <c r="H490">
        <v>166.73</v>
      </c>
      <c r="I490">
        <v>71617.289999999994</v>
      </c>
      <c r="J490">
        <v>48005</v>
      </c>
      <c r="K490">
        <v>901</v>
      </c>
      <c r="L490">
        <v>678203</v>
      </c>
      <c r="M490">
        <v>19031.650000000001</v>
      </c>
      <c r="N490">
        <v>7980</v>
      </c>
    </row>
    <row r="491" spans="1:14" x14ac:dyDescent="0.3">
      <c r="A491" t="s">
        <v>69</v>
      </c>
      <c r="B491" t="s">
        <v>91</v>
      </c>
      <c r="C491">
        <v>2023</v>
      </c>
      <c r="D491">
        <v>187521</v>
      </c>
      <c r="E491" t="s">
        <v>47</v>
      </c>
      <c r="F491">
        <v>2223.7600000000002</v>
      </c>
      <c r="G491">
        <v>226</v>
      </c>
      <c r="H491">
        <v>407.88</v>
      </c>
      <c r="I491">
        <v>417001.7</v>
      </c>
      <c r="J491">
        <v>33952</v>
      </c>
      <c r="K491">
        <v>4984</v>
      </c>
      <c r="L491">
        <v>861624</v>
      </c>
      <c r="M491">
        <v>71286.12</v>
      </c>
      <c r="N491">
        <v>8305</v>
      </c>
    </row>
    <row r="492" spans="1:14" x14ac:dyDescent="0.3">
      <c r="A492" t="s">
        <v>63</v>
      </c>
      <c r="B492" t="s">
        <v>95</v>
      </c>
      <c r="C492">
        <v>2020</v>
      </c>
      <c r="D492">
        <v>66365</v>
      </c>
      <c r="E492" t="s">
        <v>49</v>
      </c>
      <c r="F492">
        <v>4598.71</v>
      </c>
      <c r="G492">
        <v>395</v>
      </c>
      <c r="H492">
        <v>177.69</v>
      </c>
      <c r="I492">
        <v>305193.39</v>
      </c>
      <c r="J492">
        <v>39012</v>
      </c>
      <c r="K492">
        <v>3970</v>
      </c>
      <c r="L492">
        <v>557730</v>
      </c>
      <c r="M492">
        <v>33746.25</v>
      </c>
      <c r="N492">
        <v>1009</v>
      </c>
    </row>
    <row r="493" spans="1:14" x14ac:dyDescent="0.3">
      <c r="A493" t="s">
        <v>53</v>
      </c>
      <c r="B493" t="s">
        <v>81</v>
      </c>
      <c r="C493">
        <v>2024</v>
      </c>
      <c r="D493">
        <v>164110</v>
      </c>
      <c r="E493" t="s">
        <v>49</v>
      </c>
      <c r="F493">
        <v>4125.24</v>
      </c>
      <c r="G493">
        <v>112</v>
      </c>
      <c r="H493">
        <v>336.83</v>
      </c>
      <c r="I493">
        <v>676993.14</v>
      </c>
      <c r="J493">
        <v>37624</v>
      </c>
      <c r="K493">
        <v>1715</v>
      </c>
      <c r="L493">
        <v>969199</v>
      </c>
      <c r="M493">
        <v>111714.72</v>
      </c>
      <c r="N493">
        <v>110</v>
      </c>
    </row>
    <row r="494" spans="1:14" x14ac:dyDescent="0.3">
      <c r="A494" t="s">
        <v>38</v>
      </c>
      <c r="B494" t="s">
        <v>39</v>
      </c>
      <c r="C494">
        <v>2020</v>
      </c>
      <c r="D494">
        <v>190302</v>
      </c>
      <c r="E494" t="s">
        <v>37</v>
      </c>
      <c r="F494">
        <v>4975.67</v>
      </c>
      <c r="G494">
        <v>177</v>
      </c>
      <c r="H494">
        <v>360.18</v>
      </c>
      <c r="I494">
        <v>946879.95</v>
      </c>
      <c r="J494">
        <v>18662</v>
      </c>
      <c r="K494">
        <v>2289</v>
      </c>
      <c r="L494">
        <v>986924</v>
      </c>
      <c r="M494">
        <v>103359.79</v>
      </c>
      <c r="N494">
        <v>7183</v>
      </c>
    </row>
    <row r="495" spans="1:14" x14ac:dyDescent="0.3">
      <c r="A495" t="s">
        <v>45</v>
      </c>
      <c r="B495" t="s">
        <v>52</v>
      </c>
      <c r="C495">
        <v>2023</v>
      </c>
      <c r="D495">
        <v>88262</v>
      </c>
      <c r="E495" t="s">
        <v>37</v>
      </c>
      <c r="F495">
        <v>1677.52</v>
      </c>
      <c r="G495">
        <v>107</v>
      </c>
      <c r="H495">
        <v>348.85</v>
      </c>
      <c r="I495">
        <v>148061.26999999999</v>
      </c>
      <c r="J495">
        <v>12689</v>
      </c>
      <c r="K495">
        <v>4890</v>
      </c>
      <c r="L495">
        <v>531947</v>
      </c>
      <c r="M495">
        <v>41393.68</v>
      </c>
      <c r="N495">
        <v>6575</v>
      </c>
    </row>
    <row r="496" spans="1:14" x14ac:dyDescent="0.3">
      <c r="A496" t="s">
        <v>50</v>
      </c>
      <c r="B496" t="s">
        <v>86</v>
      </c>
      <c r="C496">
        <v>2024</v>
      </c>
      <c r="D496">
        <v>195800</v>
      </c>
      <c r="E496" t="s">
        <v>49</v>
      </c>
      <c r="F496">
        <v>3654.55</v>
      </c>
      <c r="G496">
        <v>158</v>
      </c>
      <c r="H496">
        <v>105.12</v>
      </c>
      <c r="I496">
        <v>715560.89</v>
      </c>
      <c r="J496">
        <v>43699</v>
      </c>
      <c r="K496">
        <v>1745</v>
      </c>
      <c r="L496">
        <v>167408</v>
      </c>
      <c r="M496">
        <v>85535.22</v>
      </c>
      <c r="N496">
        <v>7081</v>
      </c>
    </row>
    <row r="497" spans="1:14" x14ac:dyDescent="0.3">
      <c r="A497" t="s">
        <v>69</v>
      </c>
      <c r="B497" t="s">
        <v>91</v>
      </c>
      <c r="C497">
        <v>2024</v>
      </c>
      <c r="D497">
        <v>105654</v>
      </c>
      <c r="E497" t="s">
        <v>22</v>
      </c>
      <c r="F497">
        <v>522.85</v>
      </c>
      <c r="G497">
        <v>414</v>
      </c>
      <c r="H497">
        <v>331.82</v>
      </c>
      <c r="I497">
        <v>55241.19</v>
      </c>
      <c r="J497">
        <v>10958</v>
      </c>
      <c r="K497">
        <v>2678</v>
      </c>
      <c r="L497">
        <v>896626</v>
      </c>
      <c r="M497">
        <v>13460.52</v>
      </c>
      <c r="N497">
        <v>873</v>
      </c>
    </row>
    <row r="498" spans="1:14" x14ac:dyDescent="0.3">
      <c r="A498" t="s">
        <v>63</v>
      </c>
      <c r="B498" t="s">
        <v>95</v>
      </c>
      <c r="C498">
        <v>2023</v>
      </c>
      <c r="D498">
        <v>115888</v>
      </c>
      <c r="E498" t="s">
        <v>49</v>
      </c>
      <c r="F498">
        <v>3450.33</v>
      </c>
      <c r="G498">
        <v>167</v>
      </c>
      <c r="H498">
        <v>419.21</v>
      </c>
      <c r="I498">
        <v>399851.84</v>
      </c>
      <c r="J498">
        <v>32213</v>
      </c>
      <c r="K498">
        <v>4977</v>
      </c>
      <c r="L498">
        <v>636510</v>
      </c>
      <c r="M498">
        <v>48753.78</v>
      </c>
      <c r="N498">
        <v>5856</v>
      </c>
    </row>
    <row r="499" spans="1:14" x14ac:dyDescent="0.3">
      <c r="A499" t="s">
        <v>23</v>
      </c>
      <c r="B499" t="s">
        <v>24</v>
      </c>
      <c r="C499">
        <v>2022</v>
      </c>
      <c r="D499">
        <v>192326</v>
      </c>
      <c r="E499" t="s">
        <v>49</v>
      </c>
      <c r="F499">
        <v>3249.61</v>
      </c>
      <c r="G499">
        <v>236</v>
      </c>
      <c r="H499">
        <v>256.20999999999998</v>
      </c>
      <c r="I499">
        <v>624984.49</v>
      </c>
      <c r="J499">
        <v>20545</v>
      </c>
      <c r="K499">
        <v>4608</v>
      </c>
      <c r="L499">
        <v>534427</v>
      </c>
      <c r="M499">
        <v>157455.35999999999</v>
      </c>
      <c r="N499">
        <v>9216</v>
      </c>
    </row>
    <row r="500" spans="1:14" x14ac:dyDescent="0.3">
      <c r="A500" t="s">
        <v>53</v>
      </c>
      <c r="B500" t="s">
        <v>81</v>
      </c>
      <c r="C500">
        <v>2024</v>
      </c>
      <c r="D500">
        <v>59795</v>
      </c>
      <c r="E500" t="s">
        <v>47</v>
      </c>
      <c r="F500">
        <v>4010.38</v>
      </c>
      <c r="G500">
        <v>379</v>
      </c>
      <c r="H500">
        <v>265.10000000000002</v>
      </c>
      <c r="I500">
        <v>239800.67</v>
      </c>
      <c r="J500">
        <v>36042</v>
      </c>
      <c r="K500">
        <v>3660</v>
      </c>
      <c r="L500">
        <v>603669</v>
      </c>
      <c r="M500">
        <v>45555.56</v>
      </c>
      <c r="N500">
        <v>970</v>
      </c>
    </row>
    <row r="501" spans="1:14" x14ac:dyDescent="0.3">
      <c r="A501" t="s">
        <v>50</v>
      </c>
      <c r="B501" t="s">
        <v>86</v>
      </c>
      <c r="C501">
        <v>2022</v>
      </c>
      <c r="D501">
        <v>130770</v>
      </c>
      <c r="E501" t="s">
        <v>22</v>
      </c>
      <c r="F501">
        <v>1089.8599999999999</v>
      </c>
      <c r="G501">
        <v>57</v>
      </c>
      <c r="H501">
        <v>169.29</v>
      </c>
      <c r="I501">
        <v>142520.99</v>
      </c>
      <c r="J501">
        <v>20321</v>
      </c>
      <c r="K501">
        <v>2212</v>
      </c>
      <c r="L501">
        <v>692216</v>
      </c>
      <c r="M501">
        <v>24609.61</v>
      </c>
      <c r="N501">
        <v>7827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6C3DEF05-1C07-406E-B72E-CCA16E9ADD92}">
  <ds:schemaRefs/>
</ds:datastoreItem>
</file>

<file path=customXml/itemProps2.xml><?xml version="1.0" encoding="utf-8"?>
<ds:datastoreItem xmlns:ds="http://schemas.openxmlformats.org/officeDocument/2006/customXml" ds:itemID="{BE4E4AAF-5674-464C-8809-9D72B855C383}">
  <ds:schemaRefs/>
</ds:datastoreItem>
</file>

<file path=customXml/itemProps3.xml><?xml version="1.0" encoding="utf-8"?>
<ds:datastoreItem xmlns:ds="http://schemas.openxmlformats.org/officeDocument/2006/customXml" ds:itemID="{FB62EA92-2D59-44E7-A821-47DB661B454B}">
  <ds:schemaRefs/>
</ds:datastoreItem>
</file>

<file path=customXml/itemProps4.xml><?xml version="1.0" encoding="utf-8"?>
<ds:datastoreItem xmlns:ds="http://schemas.openxmlformats.org/officeDocument/2006/customXml" ds:itemID="{D0402F02-FFDF-4C0D-804A-96AAAD401373}">
  <ds:schemaRefs/>
</ds:datastoreItem>
</file>

<file path=customXml/itemProps5.xml><?xml version="1.0" encoding="utf-8"?>
<ds:datastoreItem xmlns:ds="http://schemas.openxmlformats.org/officeDocument/2006/customXml" ds:itemID="{DD0E37E7-1014-4DEE-926A-52A896CAFD3C}">
  <ds:schemaRefs/>
</ds:datastoreItem>
</file>

<file path=customXml/itemProps6.xml><?xml version="1.0" encoding="utf-8"?>
<ds:datastoreItem xmlns:ds="http://schemas.openxmlformats.org/officeDocument/2006/customXml" ds:itemID="{7BF8AEB7-FB85-4181-BE6B-983EF2E7DD88}">
  <ds:schemaRefs/>
</ds:datastoreItem>
</file>

<file path=customXml/itemProps7.xml><?xml version="1.0" encoding="utf-8"?>
<ds:datastoreItem xmlns:ds="http://schemas.openxmlformats.org/officeDocument/2006/customXml" ds:itemID="{5C741152-C9F6-4CAB-9B01-50F0D3CB2816}">
  <ds:schemaRefs/>
</ds:datastoreItem>
</file>

<file path=customXml/itemProps8.xml><?xml version="1.0" encoding="utf-8"?>
<ds:datastoreItem xmlns:ds="http://schemas.openxmlformats.org/officeDocument/2006/customXml" ds:itemID="{5C49945E-2B71-435B-AADB-A4E265D2A72C}">
  <ds:schemaRefs/>
</ds:datastoreItem>
</file>

<file path=customXml/itemProps9.xml><?xml version="1.0" encoding="utf-8"?>
<ds:datastoreItem xmlns:ds="http://schemas.openxmlformats.org/officeDocument/2006/customXml" ds:itemID="{F534F1F0-C386-4820-B5AB-2CB6BADF74E7}">
  <ds:schemaRefs/>
</ds:datastoreItem>
</file>

<file path=customXml/itemProps10.xml><?xml version="1.0" encoding="utf-8"?>
<ds:datastoreItem xmlns:ds="http://schemas.openxmlformats.org/officeDocument/2006/customXml" ds:itemID="{51C66A57-3981-4623-9CAC-AEFBEC2D22EE}">
  <ds:schemaRefs/>
</ds:datastoreItem>
</file>

<file path=customXml/itemProps11.xml><?xml version="1.0" encoding="utf-8"?>
<ds:datastoreItem xmlns:ds="http://schemas.openxmlformats.org/officeDocument/2006/customXml" ds:itemID="{E7F75957-62B6-4401-A349-E557002D7E0D}">
  <ds:schemaRefs/>
</ds:datastoreItem>
</file>

<file path=customXml/itemProps12.xml><?xml version="1.0" encoding="utf-8"?>
<ds:datastoreItem xmlns:ds="http://schemas.openxmlformats.org/officeDocument/2006/customXml" ds:itemID="{3FF37600-6973-4356-8DD3-F201C4334515}">
  <ds:schemaRefs/>
</ds:datastoreItem>
</file>

<file path=customXml/itemProps13.xml><?xml version="1.0" encoding="utf-8"?>
<ds:datastoreItem xmlns:ds="http://schemas.openxmlformats.org/officeDocument/2006/customXml" ds:itemID="{5061CC13-AC59-4888-859C-AD1114C875F7}">
  <ds:schemaRefs/>
</ds:datastoreItem>
</file>

<file path=customXml/itemProps14.xml><?xml version="1.0" encoding="utf-8"?>
<ds:datastoreItem xmlns:ds="http://schemas.openxmlformats.org/officeDocument/2006/customXml" ds:itemID="{77482D3C-9F14-45F4-B996-60B0C2FCE3C6}">
  <ds:schemaRefs/>
</ds:datastoreItem>
</file>

<file path=customXml/itemProps15.xml><?xml version="1.0" encoding="utf-8"?>
<ds:datastoreItem xmlns:ds="http://schemas.openxmlformats.org/officeDocument/2006/customXml" ds:itemID="{0D2AA5A3-20DB-4F68-B883-E37E79DED841}">
  <ds:schemaRefs/>
</ds:datastoreItem>
</file>

<file path=customXml/itemProps16.xml><?xml version="1.0" encoding="utf-8"?>
<ds:datastoreItem xmlns:ds="http://schemas.openxmlformats.org/officeDocument/2006/customXml" ds:itemID="{2E48270A-D998-460F-8C95-4B04E4D6E1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New Dashboard</vt:lpstr>
      <vt:lpstr>TravelTourism 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Pavneet Kaur</dc:creator>
  <cp:lastModifiedBy>Pavneet Kaur</cp:lastModifiedBy>
  <dcterms:created xsi:type="dcterms:W3CDTF">2026-03-27T06:08:43Z</dcterms:created>
  <dcterms:modified xsi:type="dcterms:W3CDTF">2026-04-16T15:11:35Z</dcterms:modified>
</cp:coreProperties>
</file>